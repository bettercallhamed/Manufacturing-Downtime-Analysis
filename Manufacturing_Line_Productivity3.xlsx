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Omar Ramadan\Downloads\Downloads (1)\Downloads\"/>
    </mc:Choice>
  </mc:AlternateContent>
  <xr:revisionPtr revIDLastSave="0" documentId="13_ncr:1_{9E277CA7-5F81-49A1-B442-69F6B76C572E}" xr6:coauthVersionLast="47" xr6:coauthVersionMax="47" xr10:uidLastSave="{00000000-0000-0000-0000-000000000000}"/>
  <bookViews>
    <workbookView xWindow="-108" yWindow="-108" windowWidth="23256" windowHeight="12576" firstSheet="1" activeTab="1" xr2:uid="{8FF62ED8-A67E-423F-8325-F23DB684777C}"/>
  </bookViews>
  <sheets>
    <sheet name="Line downtime" sheetId="2" r:id="rId1"/>
    <sheet name="Line productivity" sheetId="1" r:id="rId2"/>
    <sheet name="Products" sheetId="8" r:id="rId3"/>
    <sheet name="Downtime factors" sheetId="3" r:id="rId4"/>
    <sheet name="Line Downtime count " sheetId="11" r:id="rId5"/>
    <sheet name="Line Downtime total" sheetId="12" r:id="rId6"/>
    <sheet name="Sheet1" sheetId="9" r:id="rId7"/>
    <sheet name="Sheet2" sheetId="10" r:id="rId8"/>
  </sheets>
  <externalReferences>
    <externalReference r:id="rId9"/>
  </externalReferences>
  <definedNames>
    <definedName name="_xlnm._FilterDatabase" localSheetId="3" hidden="1">'Downtime factors'!#REF!</definedName>
    <definedName name="_xlnm._FilterDatabase" localSheetId="1" hidden="1">'Line productivity'!$A$1:$AG$41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2" l="1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C40" i="2" l="1"/>
  <c r="D40" i="2"/>
  <c r="E40" i="2"/>
  <c r="F40" i="2"/>
  <c r="G40" i="2"/>
  <c r="H40" i="2"/>
  <c r="I40" i="2"/>
  <c r="J40" i="2"/>
  <c r="K40" i="2"/>
  <c r="L40" i="2"/>
  <c r="M40" i="2"/>
  <c r="B40" i="2"/>
  <c r="S2" i="1"/>
  <c r="AF14" i="1"/>
  <c r="I34" i="1"/>
  <c r="I33" i="1"/>
  <c r="I32" i="1"/>
  <c r="I31" i="1"/>
  <c r="I30" i="1"/>
  <c r="I29" i="1"/>
  <c r="I28" i="1"/>
  <c r="Q2" i="1"/>
  <c r="R2" i="1"/>
  <c r="T2" i="1"/>
  <c r="I2" i="1"/>
  <c r="K4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L40" i="1"/>
  <c r="AA3" i="1"/>
  <c r="AB3" i="1"/>
  <c r="AC3" i="1"/>
  <c r="AD3" i="1"/>
  <c r="AE3" i="1"/>
  <c r="AF3" i="1"/>
  <c r="AG3" i="1"/>
  <c r="AH3" i="1"/>
  <c r="AI3" i="1"/>
  <c r="AJ3" i="1"/>
  <c r="AK3" i="1"/>
  <c r="AL3" i="1"/>
  <c r="AA4" i="1"/>
  <c r="AB4" i="1"/>
  <c r="AC4" i="1"/>
  <c r="AD4" i="1"/>
  <c r="AE4" i="1"/>
  <c r="AF4" i="1"/>
  <c r="AG4" i="1"/>
  <c r="AH4" i="1"/>
  <c r="AI4" i="1"/>
  <c r="AJ4" i="1"/>
  <c r="AK4" i="1"/>
  <c r="AL4" i="1"/>
  <c r="AA5" i="1"/>
  <c r="AB5" i="1"/>
  <c r="AC5" i="1"/>
  <c r="AD5" i="1"/>
  <c r="AE5" i="1"/>
  <c r="AF5" i="1"/>
  <c r="AG5" i="1"/>
  <c r="AH5" i="1"/>
  <c r="AI5" i="1"/>
  <c r="AJ5" i="1"/>
  <c r="AK5" i="1"/>
  <c r="AL5" i="1"/>
  <c r="AA6" i="1"/>
  <c r="AB6" i="1"/>
  <c r="AC6" i="1"/>
  <c r="AD6" i="1"/>
  <c r="AE6" i="1"/>
  <c r="AF6" i="1"/>
  <c r="AG6" i="1"/>
  <c r="AH6" i="1"/>
  <c r="AI6" i="1"/>
  <c r="AJ6" i="1"/>
  <c r="AK6" i="1"/>
  <c r="AL6" i="1"/>
  <c r="AA7" i="1"/>
  <c r="AB7" i="1"/>
  <c r="AC7" i="1"/>
  <c r="AD7" i="1"/>
  <c r="AE7" i="1"/>
  <c r="AF7" i="1"/>
  <c r="AG7" i="1"/>
  <c r="AH7" i="1"/>
  <c r="AI7" i="1"/>
  <c r="AJ7" i="1"/>
  <c r="AK7" i="1"/>
  <c r="AL7" i="1"/>
  <c r="AA8" i="1"/>
  <c r="AB8" i="1"/>
  <c r="AC8" i="1"/>
  <c r="AD8" i="1"/>
  <c r="AE8" i="1"/>
  <c r="AF8" i="1"/>
  <c r="AG8" i="1"/>
  <c r="AH8" i="1"/>
  <c r="AI8" i="1"/>
  <c r="AJ8" i="1"/>
  <c r="AK8" i="1"/>
  <c r="AL8" i="1"/>
  <c r="AA9" i="1"/>
  <c r="AB9" i="1"/>
  <c r="AC9" i="1"/>
  <c r="AD9" i="1"/>
  <c r="AE9" i="1"/>
  <c r="AF9" i="1"/>
  <c r="AG9" i="1"/>
  <c r="AH9" i="1"/>
  <c r="AI9" i="1"/>
  <c r="AJ9" i="1"/>
  <c r="AK9" i="1"/>
  <c r="AL9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A14" i="1"/>
  <c r="AB14" i="1"/>
  <c r="AC14" i="1"/>
  <c r="AD14" i="1"/>
  <c r="AE14" i="1"/>
  <c r="AG14" i="1"/>
  <c r="AH14" i="1"/>
  <c r="AI14" i="1"/>
  <c r="AJ14" i="1"/>
  <c r="AK14" i="1"/>
  <c r="AL14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B2" i="1"/>
  <c r="AC2" i="1"/>
  <c r="AD2" i="1"/>
  <c r="AE2" i="1"/>
  <c r="AF2" i="1"/>
  <c r="AG2" i="1"/>
  <c r="AH2" i="1"/>
  <c r="AI2" i="1"/>
  <c r="AJ2" i="1"/>
  <c r="AK2" i="1"/>
  <c r="AL2" i="1"/>
  <c r="AA2" i="1"/>
  <c r="G3" i="1"/>
  <c r="H3" i="1" s="1"/>
  <c r="O3" i="1" s="1"/>
  <c r="G4" i="1"/>
  <c r="H4" i="1" s="1"/>
  <c r="G5" i="1"/>
  <c r="H5" i="1" s="1"/>
  <c r="G6" i="1"/>
  <c r="H6" i="1" s="1"/>
  <c r="G7" i="1"/>
  <c r="H7" i="1" s="1"/>
  <c r="O7" i="1" s="1"/>
  <c r="G8" i="1"/>
  <c r="H8" i="1" s="1"/>
  <c r="G9" i="1"/>
  <c r="H9" i="1" s="1"/>
  <c r="G10" i="1"/>
  <c r="H10" i="1" s="1"/>
  <c r="G11" i="1"/>
  <c r="H11" i="1" s="1"/>
  <c r="O11" i="1" s="1"/>
  <c r="G12" i="1"/>
  <c r="H12" i="1" s="1"/>
  <c r="G13" i="1"/>
  <c r="H13" i="1" s="1"/>
  <c r="G14" i="1"/>
  <c r="H14" i="1" s="1"/>
  <c r="G15" i="1"/>
  <c r="H15" i="1" s="1"/>
  <c r="O15" i="1" s="1"/>
  <c r="G16" i="1"/>
  <c r="H16" i="1" s="1"/>
  <c r="G17" i="1"/>
  <c r="H17" i="1" s="1"/>
  <c r="G18" i="1"/>
  <c r="H18" i="1" s="1"/>
  <c r="G19" i="1"/>
  <c r="H19" i="1" s="1"/>
  <c r="O19" i="1" s="1"/>
  <c r="G20" i="1"/>
  <c r="H20" i="1" s="1"/>
  <c r="G21" i="1"/>
  <c r="H21" i="1" s="1"/>
  <c r="G22" i="1"/>
  <c r="H22" i="1" s="1"/>
  <c r="G23" i="1"/>
  <c r="H23" i="1" s="1"/>
  <c r="O23" i="1" s="1"/>
  <c r="G24" i="1"/>
  <c r="H24" i="1" s="1"/>
  <c r="G25" i="1"/>
  <c r="H25" i="1" s="1"/>
  <c r="G26" i="1"/>
  <c r="H26" i="1" s="1"/>
  <c r="G27" i="1"/>
  <c r="H27" i="1" s="1"/>
  <c r="O27" i="1" s="1"/>
  <c r="G28" i="1"/>
  <c r="H28" i="1" s="1"/>
  <c r="G29" i="1"/>
  <c r="H29" i="1" s="1"/>
  <c r="G30" i="1"/>
  <c r="H30" i="1" s="1"/>
  <c r="G31" i="1"/>
  <c r="H31" i="1" s="1"/>
  <c r="O31" i="1" s="1"/>
  <c r="G32" i="1"/>
  <c r="H32" i="1" s="1"/>
  <c r="G33" i="1"/>
  <c r="H33" i="1" s="1"/>
  <c r="G34" i="1"/>
  <c r="H34" i="1" s="1"/>
  <c r="G35" i="1"/>
  <c r="H35" i="1" s="1"/>
  <c r="O35" i="1" s="1"/>
  <c r="G36" i="1"/>
  <c r="H36" i="1" s="1"/>
  <c r="G37" i="1"/>
  <c r="H37" i="1" s="1"/>
  <c r="G38" i="1"/>
  <c r="H38" i="1" s="1"/>
  <c r="G39" i="1"/>
  <c r="H39" i="1" s="1"/>
  <c r="O39" i="1" s="1"/>
  <c r="G2" i="1"/>
  <c r="H2" i="1" s="1"/>
  <c r="O2" i="1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2" i="2"/>
  <c r="D1" i="2"/>
  <c r="AC1" i="1" s="1"/>
  <c r="E1" i="2"/>
  <c r="AD1" i="1" s="1"/>
  <c r="F1" i="2"/>
  <c r="AE1" i="1" s="1"/>
  <c r="G1" i="2"/>
  <c r="AF1" i="1" s="1"/>
  <c r="H1" i="2"/>
  <c r="AG1" i="1" s="1"/>
  <c r="I1" i="2"/>
  <c r="AH1" i="1" s="1"/>
  <c r="J1" i="2"/>
  <c r="AI1" i="1" s="1"/>
  <c r="K1" i="2"/>
  <c r="AJ1" i="1" s="1"/>
  <c r="L1" i="2"/>
  <c r="AK1" i="1" s="1"/>
  <c r="M1" i="2"/>
  <c r="AL1" i="1" s="1"/>
  <c r="C1" i="2"/>
  <c r="AB1" i="1" s="1"/>
  <c r="B1" i="2"/>
  <c r="AA1" i="1" s="1"/>
  <c r="I40" i="1" l="1"/>
  <c r="L41" i="1"/>
  <c r="Z39" i="1"/>
  <c r="Z2" i="1"/>
  <c r="Z20" i="1"/>
  <c r="Z16" i="1"/>
  <c r="Z34" i="1"/>
  <c r="Z30" i="1"/>
  <c r="Z22" i="1"/>
  <c r="Z14" i="1"/>
  <c r="Z10" i="1"/>
  <c r="P28" i="1"/>
  <c r="V28" i="1" s="1"/>
  <c r="O28" i="1"/>
  <c r="P20" i="1"/>
  <c r="V20" i="1" s="1"/>
  <c r="O20" i="1"/>
  <c r="P16" i="1"/>
  <c r="V16" i="1" s="1"/>
  <c r="O16" i="1"/>
  <c r="P8" i="1"/>
  <c r="V8" i="1" s="1"/>
  <c r="O8" i="1"/>
  <c r="P36" i="1"/>
  <c r="V36" i="1" s="1"/>
  <c r="O36" i="1"/>
  <c r="P32" i="1"/>
  <c r="V32" i="1" s="1"/>
  <c r="O32" i="1"/>
  <c r="P24" i="1"/>
  <c r="V24" i="1" s="1"/>
  <c r="O24" i="1"/>
  <c r="P12" i="1"/>
  <c r="V12" i="1" s="1"/>
  <c r="O12" i="1"/>
  <c r="P4" i="1"/>
  <c r="V4" i="1" s="1"/>
  <c r="O4" i="1"/>
  <c r="H40" i="1"/>
  <c r="P40" i="1" s="1"/>
  <c r="P38" i="1"/>
  <c r="V38" i="1" s="1"/>
  <c r="O38" i="1"/>
  <c r="P34" i="1"/>
  <c r="V34" i="1" s="1"/>
  <c r="O34" i="1"/>
  <c r="P30" i="1"/>
  <c r="V30" i="1" s="1"/>
  <c r="O30" i="1"/>
  <c r="P26" i="1"/>
  <c r="V26" i="1" s="1"/>
  <c r="O26" i="1"/>
  <c r="P22" i="1"/>
  <c r="V22" i="1" s="1"/>
  <c r="O22" i="1"/>
  <c r="P18" i="1"/>
  <c r="V18" i="1" s="1"/>
  <c r="O18" i="1"/>
  <c r="P14" i="1"/>
  <c r="V14" i="1" s="1"/>
  <c r="O14" i="1"/>
  <c r="P10" i="1"/>
  <c r="V10" i="1" s="1"/>
  <c r="O10" i="1"/>
  <c r="P6" i="1"/>
  <c r="V6" i="1" s="1"/>
  <c r="O6" i="1"/>
  <c r="O37" i="1"/>
  <c r="P37" i="1"/>
  <c r="V37" i="1" s="1"/>
  <c r="O33" i="1"/>
  <c r="P33" i="1"/>
  <c r="V33" i="1" s="1"/>
  <c r="O29" i="1"/>
  <c r="P29" i="1"/>
  <c r="V29" i="1" s="1"/>
  <c r="O25" i="1"/>
  <c r="P25" i="1"/>
  <c r="V25" i="1" s="1"/>
  <c r="O21" i="1"/>
  <c r="P21" i="1"/>
  <c r="V21" i="1" s="1"/>
  <c r="O17" i="1"/>
  <c r="P17" i="1"/>
  <c r="V17" i="1" s="1"/>
  <c r="O13" i="1"/>
  <c r="P13" i="1"/>
  <c r="V13" i="1" s="1"/>
  <c r="O9" i="1"/>
  <c r="P9" i="1"/>
  <c r="V9" i="1" s="1"/>
  <c r="O5" i="1"/>
  <c r="P5" i="1"/>
  <c r="V5" i="1" s="1"/>
  <c r="Y20" i="1"/>
  <c r="P2" i="1"/>
  <c r="V2" i="1" s="1"/>
  <c r="P39" i="1"/>
  <c r="V39" i="1" s="1"/>
  <c r="P35" i="1"/>
  <c r="V35" i="1" s="1"/>
  <c r="P31" i="1"/>
  <c r="V31" i="1" s="1"/>
  <c r="P27" i="1"/>
  <c r="V27" i="1" s="1"/>
  <c r="P23" i="1"/>
  <c r="V23" i="1" s="1"/>
  <c r="P19" i="1"/>
  <c r="V19" i="1" s="1"/>
  <c r="P15" i="1"/>
  <c r="V15" i="1" s="1"/>
  <c r="P11" i="1"/>
  <c r="V11" i="1" s="1"/>
  <c r="P7" i="1"/>
  <c r="V7" i="1" s="1"/>
  <c r="P3" i="1"/>
  <c r="V3" i="1" s="1"/>
  <c r="Y38" i="1"/>
  <c r="Y37" i="1"/>
  <c r="Y36" i="1"/>
  <c r="Z26" i="1"/>
  <c r="Y19" i="1"/>
  <c r="Y18" i="1"/>
  <c r="Y17" i="1"/>
  <c r="Y8" i="1"/>
  <c r="Y7" i="1"/>
  <c r="Y6" i="1"/>
  <c r="Y16" i="1"/>
  <c r="Z38" i="1"/>
  <c r="Z37" i="1"/>
  <c r="Z36" i="1"/>
  <c r="Z19" i="1"/>
  <c r="Z18" i="1"/>
  <c r="Z17" i="1"/>
  <c r="Z8" i="1"/>
  <c r="Z7" i="1"/>
  <c r="Z6" i="1"/>
  <c r="Z35" i="1"/>
  <c r="Z33" i="1"/>
  <c r="Z32" i="1"/>
  <c r="Z31" i="1"/>
  <c r="Z29" i="1"/>
  <c r="Z28" i="1"/>
  <c r="Z27" i="1"/>
  <c r="Z25" i="1"/>
  <c r="Z24" i="1"/>
  <c r="Z23" i="1"/>
  <c r="Z21" i="1"/>
  <c r="Z15" i="1"/>
  <c r="Z13" i="1"/>
  <c r="Z12" i="1"/>
  <c r="Z11" i="1"/>
  <c r="Z9" i="1"/>
  <c r="Z5" i="1"/>
  <c r="Z4" i="1"/>
  <c r="Z3" i="1"/>
  <c r="N2" i="1" l="1"/>
  <c r="O40" i="1"/>
  <c r="H41" i="1"/>
  <c r="Z40" i="1"/>
  <c r="M10" i="1" l="1"/>
  <c r="M3" i="1"/>
  <c r="M33" i="1"/>
  <c r="M17" i="1"/>
  <c r="M18" i="1"/>
  <c r="M32" i="1"/>
  <c r="M2" i="1"/>
  <c r="M31" i="1"/>
  <c r="M16" i="1"/>
  <c r="M30" i="1"/>
  <c r="M15" i="1"/>
  <c r="M29" i="1"/>
  <c r="M39" i="1"/>
  <c r="M28" i="1"/>
  <c r="M38" i="1"/>
  <c r="M27" i="1"/>
  <c r="M14" i="1"/>
  <c r="M26" i="1"/>
  <c r="M13" i="1"/>
  <c r="M25" i="1"/>
  <c r="M36" i="1"/>
  <c r="M24" i="1"/>
  <c r="M12" i="1"/>
  <c r="M23" i="1"/>
  <c r="M35" i="1"/>
  <c r="M11" i="1"/>
  <c r="M9" i="1"/>
  <c r="M37" i="1"/>
  <c r="M19" i="1"/>
  <c r="M8" i="1"/>
  <c r="M34" i="1"/>
  <c r="M22" i="1"/>
  <c r="M7" i="1"/>
  <c r="M4" i="1"/>
  <c r="M21" i="1"/>
  <c r="M5" i="1"/>
  <c r="M6" i="1"/>
  <c r="M20" i="1"/>
  <c r="O41" i="1"/>
  <c r="P41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<sst xmlns="http://schemas.openxmlformats.org/spreadsheetml/2006/main" count="237" uniqueCount="91">
  <si>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</si>
  <si>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</si>
  <si>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</si>
  <si>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</si>
  <si>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</si>
  <si>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</si>
  <si>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</si>
  <si>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</si>
  <si>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</si>
  <si>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</si>
  <si>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</si>
  <si>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</si>
  <si>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</si>
  <si>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</si>
  <si>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</si>
  <si>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</si>
  <si>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</si>
  <si>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</si>
  <si>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</si>
  <si>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</si>
  <si>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</si>
  <si>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</si>
  <si>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</si>
  <si>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</si>
  <si>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</si>
  <si>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</si>
  <si>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</si>
  <si>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</si>
  <si>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</si>
  <si>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</si>
  <si>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</si>
  <si>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</si>
  <si>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</si>
  <si>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</si>
  <si>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</si>
  <si>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</si>
  <si>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</si>
  <si>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</si>
  <si>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</si>
  <si>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</si>
  <si>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</si>
  <si>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</si>
  <si>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</si>
  <si>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</si>
  <si>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</si>
  <si>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</si>
  <si>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</si>
  <si>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</si>
  <si>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</si>
  <si>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</si>
  <si>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</si>
  <si>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</si>
  <si>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</si>
  <si>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</si>
  <si>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</si>
  <si>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</si>
  <si>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</si>
  <si>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</si>
  <si>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</si>
  <si>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</si>
  <si>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</si>
  <si>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</si>
  <si>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</si>
  <si>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</si>
  <si>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</si>
  <si>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</si>
  <si>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</si>
  <si>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</si>
  <si>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actual work time per min</t>
  </si>
  <si>
    <t>total down time per min</t>
  </si>
  <si>
    <t>waste</t>
  </si>
  <si>
    <t>l actual</t>
  </si>
  <si>
    <t>l target</t>
  </si>
  <si>
    <t>التارجت عبارة عن هناخد اكتر عامل اشتغل أيام وبأقل وقت عطلة وتبقى القيمة دي هي اقصى قيمة عطلة ونطرحها من توتال العطلة والنسبة دي هتكون التارجت بتاعنا - تارجت اقل نسبة عطلة</t>
  </si>
  <si>
    <t xml:space="preserve">actual work time </t>
  </si>
  <si>
    <t>batch work time</t>
  </si>
  <si>
    <t>total downtime</t>
  </si>
  <si>
    <t>man utilization rate</t>
  </si>
  <si>
    <t xml:space="preserve">product capacity per ml </t>
  </si>
  <si>
    <t>TARGET</t>
  </si>
  <si>
    <t>minimum downtime per operator</t>
  </si>
  <si>
    <t>target</t>
  </si>
  <si>
    <t>minimum downtime per operator-total downtime/total downtime</t>
  </si>
  <si>
    <t>dee rate</t>
  </si>
  <si>
    <t>charlie rate</t>
  </si>
  <si>
    <t>mac rate</t>
  </si>
  <si>
    <t>dennis rate</t>
  </si>
  <si>
    <t>Total</t>
  </si>
  <si>
    <t>Count</t>
  </si>
  <si>
    <t>Failure 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</si>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</sst>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0" fontId="1" fillId="2" borderId="2" xfId="0" applyFont="1" applyFill="1" applyBorder="1" applyAlignment="1">
      <alignment horizontal="center" vertical="center"/>
    </xf>
    <xf numFmtId="2" fontId="0" fillId="0" borderId="2" xfId="0" applyNumberFormat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1" fontId="0" fillId="0" borderId="2" xfId="0" applyNumberFormat="1" applyBorder="1"/>
    <xf numFmtId="0" fontId="0" fillId="4" borderId="2" xfId="0" applyFill="1" applyBorder="1"/>
    <xf numFmtId="164" fontId="0" fillId="4" borderId="2" xfId="0" applyNumberFormat="1" applyFill="1" applyBorder="1"/>
    <xf numFmtId="2" fontId="0" fillId="4" borderId="2" xfId="0" applyNumberFormat="1" applyFill="1" applyBorder="1"/>
    <xf numFmtId="9" fontId="0" fillId="0" borderId="2" xfId="1" applyFont="1" applyBorder="1"/>
    <xf numFmtId="0" fontId="0" fillId="0" borderId="0" xfId="0" applyAlignment="1">
      <alignment horizontal="center" vertical="center"/>
    </xf>
    <xf numFmtId="10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3/09/relationships/Python" Target="pyth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nufacturing_Line_Productivity3%20-%20Copy.xlsx" TargetMode="External"/><Relationship Id="rId1" Type="http://schemas.openxmlformats.org/officeDocument/2006/relationships/externalLinkPath" Target="file:///D:\Manufacturing_Line_Productivity3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 productivity"/>
      <sheetName val="Line downtime"/>
      <sheetName val="Line Downtime total"/>
      <sheetName val="Products"/>
      <sheetName val="Downtime factors"/>
      <sheetName val="Line downtime per facto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20</v>
          </cell>
          <cell r="C3">
            <v>50</v>
          </cell>
          <cell r="G3">
            <v>10</v>
          </cell>
          <cell r="T3">
            <v>20</v>
          </cell>
          <cell r="AM3">
            <v>60</v>
          </cell>
        </row>
        <row r="4">
          <cell r="AB4">
            <v>20</v>
          </cell>
          <cell r="AI4">
            <v>22</v>
          </cell>
        </row>
        <row r="5">
          <cell r="D5">
            <v>25</v>
          </cell>
          <cell r="I5">
            <v>25</v>
          </cell>
          <cell r="J5">
            <v>20</v>
          </cell>
          <cell r="M5">
            <v>43</v>
          </cell>
          <cell r="U5">
            <v>20</v>
          </cell>
          <cell r="Y5">
            <v>30</v>
          </cell>
          <cell r="AC5">
            <v>20</v>
          </cell>
          <cell r="AK5">
            <v>17</v>
          </cell>
          <cell r="AL5">
            <v>25</v>
          </cell>
        </row>
        <row r="6">
          <cell r="J6">
            <v>15</v>
          </cell>
          <cell r="N6">
            <v>20</v>
          </cell>
          <cell r="R6">
            <v>22</v>
          </cell>
        </row>
        <row r="7">
          <cell r="D7">
            <v>15</v>
          </cell>
          <cell r="G7">
            <v>5</v>
          </cell>
          <cell r="H7">
            <v>14</v>
          </cell>
          <cell r="N7">
            <v>20</v>
          </cell>
          <cell r="Q7">
            <v>23</v>
          </cell>
          <cell r="AC7">
            <v>15</v>
          </cell>
          <cell r="AD7">
            <v>50</v>
          </cell>
          <cell r="AF7">
            <v>30</v>
          </cell>
          <cell r="AG7">
            <v>40</v>
          </cell>
          <cell r="AH7">
            <v>30</v>
          </cell>
          <cell r="AJ7">
            <v>30</v>
          </cell>
          <cell r="AK7">
            <v>60</v>
          </cell>
        </row>
        <row r="8">
          <cell r="H8">
            <v>16</v>
          </cell>
          <cell r="K8">
            <v>15</v>
          </cell>
          <cell r="L8">
            <v>25</v>
          </cell>
          <cell r="M8">
            <v>30</v>
          </cell>
          <cell r="R8">
            <v>30</v>
          </cell>
          <cell r="W8">
            <v>20</v>
          </cell>
          <cell r="X8">
            <v>30</v>
          </cell>
          <cell r="AG8">
            <v>18</v>
          </cell>
          <cell r="AJ8">
            <v>25</v>
          </cell>
          <cell r="AK8">
            <v>30</v>
          </cell>
          <cell r="AM8">
            <v>15</v>
          </cell>
        </row>
        <row r="9">
          <cell r="B9">
            <v>20</v>
          </cell>
          <cell r="P9">
            <v>44</v>
          </cell>
          <cell r="X9">
            <v>20</v>
          </cell>
          <cell r="AA9">
            <v>30</v>
          </cell>
          <cell r="AH9">
            <v>24</v>
          </cell>
          <cell r="AL9">
            <v>7</v>
          </cell>
        </row>
        <row r="10">
          <cell r="J10">
            <v>17</v>
          </cell>
        </row>
        <row r="11">
          <cell r="E11">
            <v>24</v>
          </cell>
          <cell r="U11">
            <v>10</v>
          </cell>
          <cell r="AA11">
            <v>15</v>
          </cell>
        </row>
        <row r="12">
          <cell r="H12">
            <v>10</v>
          </cell>
          <cell r="O12">
            <v>10</v>
          </cell>
          <cell r="AD12">
            <v>13</v>
          </cell>
        </row>
        <row r="13">
          <cell r="H13">
            <v>20</v>
          </cell>
          <cell r="O13">
            <v>10</v>
          </cell>
          <cell r="S13">
            <v>15</v>
          </cell>
          <cell r="Y13">
            <v>15</v>
          </cell>
          <cell r="AE13">
            <v>7</v>
          </cell>
          <cell r="AJ13">
            <v>7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workbookViewId="0">
      <selection activeCell="A40" activeCellId="1" sqref="A1:M1 A40:M40"/>
    </sheetView>
  </sheetViews>
  <sheetFormatPr defaultColWidth="8.77734375" defaultRowHeight="14.4" x14ac:dyDescent="0.3"/>
  <cols>
    <col min="1" max="1" width="8.77734375" customWidth="1"/>
    <col min="2" max="13" width="11.77734375" style="3" customWidth="1"/>
  </cols>
  <sheetData>
    <row r="1" spans="1:14" ht="30" customHeight="1" x14ac:dyDescent="0.3">
      <c r="A1" s="10" t="s">
        <v>2</v>
      </c>
      <c r="B1" s="5" t="str">
        <f>'Downtime factors'!C2</f>
        <v>Emergency stop</v>
      </c>
      <c r="C1" s="5" t="str">
        <f>'Downtime factors'!D2</f>
        <v>Batch change</v>
      </c>
      <c r="D1" s="5" t="str">
        <f>'Downtime factors'!E2</f>
        <v>Labeling error</v>
      </c>
      <c r="E1" s="5" t="str">
        <f>'Downtime factors'!F2</f>
        <v>Inventory shortage</v>
      </c>
      <c r="F1" s="5" t="str">
        <f>'Downtime factors'!G2</f>
        <v>Product spill</v>
      </c>
      <c r="G1" s="5" t="str">
        <f>'Downtime factors'!H2</f>
        <v>Machine adjustment</v>
      </c>
      <c r="H1" s="5" t="str">
        <f>'Downtime factors'!I2</f>
        <v>Machine failure</v>
      </c>
      <c r="I1" s="5" t="str">
        <f>'Downtime factors'!J2</f>
        <v>Batch coding error</v>
      </c>
      <c r="J1" s="5" t="str">
        <f>'Downtime factors'!K2</f>
        <v>Conveyor belt jam</v>
      </c>
      <c r="K1" s="5" t="str">
        <f>'Downtime factors'!L2</f>
        <v>Calibration error</v>
      </c>
      <c r="L1" s="5" t="str">
        <f>'Downtime factors'!M2</f>
        <v>Label switch</v>
      </c>
      <c r="M1" s="5" t="str">
        <f>'Downtime factors'!N2</f>
        <v>Other</v>
      </c>
      <c r="N1" s="5" t="s">
        <v>69</v>
      </c>
    </row>
    <row r="2" spans="1:14" x14ac:dyDescent="0.3">
      <c r="A2">
        <v>422111</v>
      </c>
      <c r="C2" s="3">
        <v>60</v>
      </c>
      <c r="H2" s="3">
        <v>15</v>
      </c>
      <c r="N2">
        <f>SUM(B2:M2)</f>
        <v>75</v>
      </c>
    </row>
    <row r="3" spans="1:14" x14ac:dyDescent="0.3">
      <c r="A3">
        <v>422112</v>
      </c>
      <c r="C3" s="3">
        <v>20</v>
      </c>
      <c r="I3" s="3">
        <v>20</v>
      </c>
      <c r="N3">
        <f t="shared" ref="N3:N39" si="0">SUM(B3:M3)</f>
        <v>40</v>
      </c>
    </row>
    <row r="4" spans="1:14" x14ac:dyDescent="0.3">
      <c r="A4">
        <v>422113</v>
      </c>
      <c r="C4" s="3">
        <v>50</v>
      </c>
      <c r="N4">
        <f t="shared" si="0"/>
        <v>50</v>
      </c>
    </row>
    <row r="5" spans="1:14" x14ac:dyDescent="0.3">
      <c r="A5">
        <v>422114</v>
      </c>
      <c r="E5" s="3">
        <v>25</v>
      </c>
      <c r="G5" s="3">
        <v>15</v>
      </c>
      <c r="N5">
        <f t="shared" si="0"/>
        <v>40</v>
      </c>
    </row>
    <row r="6" spans="1:14" x14ac:dyDescent="0.3">
      <c r="A6">
        <v>422115</v>
      </c>
      <c r="K6" s="3">
        <v>24</v>
      </c>
      <c r="N6">
        <f t="shared" si="0"/>
        <v>24</v>
      </c>
    </row>
    <row r="7" spans="1:14" x14ac:dyDescent="0.3">
      <c r="A7">
        <v>422116</v>
      </c>
      <c r="N7">
        <f t="shared" si="0"/>
        <v>0</v>
      </c>
    </row>
    <row r="8" spans="1:14" x14ac:dyDescent="0.3">
      <c r="A8">
        <v>422117</v>
      </c>
      <c r="C8" s="3">
        <v>10</v>
      </c>
      <c r="G8" s="3">
        <v>5</v>
      </c>
      <c r="N8">
        <f t="shared" si="0"/>
        <v>15</v>
      </c>
    </row>
    <row r="9" spans="1:14" x14ac:dyDescent="0.3">
      <c r="A9">
        <v>422118</v>
      </c>
      <c r="G9" s="3">
        <v>14</v>
      </c>
      <c r="H9" s="3">
        <v>16</v>
      </c>
      <c r="L9" s="3">
        <v>10</v>
      </c>
      <c r="M9" s="3">
        <v>20</v>
      </c>
      <c r="N9">
        <f t="shared" si="0"/>
        <v>60</v>
      </c>
    </row>
    <row r="10" spans="1:14" x14ac:dyDescent="0.3">
      <c r="A10">
        <v>422119</v>
      </c>
      <c r="E10" s="3">
        <v>25</v>
      </c>
      <c r="N10">
        <f t="shared" si="0"/>
        <v>25</v>
      </c>
    </row>
    <row r="11" spans="1:14" x14ac:dyDescent="0.3">
      <c r="A11">
        <v>422120</v>
      </c>
      <c r="E11" s="3">
        <v>20</v>
      </c>
      <c r="F11" s="3">
        <v>15</v>
      </c>
      <c r="J11" s="3">
        <v>17</v>
      </c>
      <c r="N11">
        <f t="shared" si="0"/>
        <v>52</v>
      </c>
    </row>
    <row r="12" spans="1:14" x14ac:dyDescent="0.3">
      <c r="A12">
        <v>422121</v>
      </c>
      <c r="H12" s="3">
        <v>15</v>
      </c>
      <c r="N12">
        <f t="shared" si="0"/>
        <v>15</v>
      </c>
    </row>
    <row r="13" spans="1:14" x14ac:dyDescent="0.3">
      <c r="A13">
        <v>422122</v>
      </c>
      <c r="H13" s="3">
        <v>25</v>
      </c>
      <c r="N13">
        <f t="shared" si="0"/>
        <v>25</v>
      </c>
    </row>
    <row r="14" spans="1:14" x14ac:dyDescent="0.3">
      <c r="A14">
        <v>422123</v>
      </c>
      <c r="E14" s="3">
        <v>43</v>
      </c>
      <c r="H14" s="3">
        <v>30</v>
      </c>
      <c r="N14">
        <f t="shared" si="0"/>
        <v>73</v>
      </c>
    </row>
    <row r="15" spans="1:14" x14ac:dyDescent="0.3">
      <c r="A15">
        <v>422124</v>
      </c>
      <c r="F15" s="3">
        <v>20</v>
      </c>
      <c r="G15" s="3">
        <v>20</v>
      </c>
      <c r="N15">
        <f t="shared" si="0"/>
        <v>40</v>
      </c>
    </row>
    <row r="16" spans="1:14" x14ac:dyDescent="0.3">
      <c r="A16">
        <v>422125</v>
      </c>
      <c r="L16" s="3">
        <v>10</v>
      </c>
      <c r="M16" s="3">
        <v>10</v>
      </c>
      <c r="N16">
        <f t="shared" si="0"/>
        <v>20</v>
      </c>
    </row>
    <row r="17" spans="1:14" x14ac:dyDescent="0.3">
      <c r="A17">
        <v>422126</v>
      </c>
      <c r="I17" s="3">
        <v>44</v>
      </c>
      <c r="N17">
        <f t="shared" si="0"/>
        <v>44</v>
      </c>
    </row>
    <row r="18" spans="1:14" x14ac:dyDescent="0.3">
      <c r="A18">
        <v>422127</v>
      </c>
      <c r="G18" s="3">
        <v>23</v>
      </c>
      <c r="N18">
        <f t="shared" si="0"/>
        <v>23</v>
      </c>
    </row>
    <row r="19" spans="1:14" x14ac:dyDescent="0.3">
      <c r="A19">
        <v>422128</v>
      </c>
      <c r="F19" s="3">
        <v>22</v>
      </c>
      <c r="H19" s="3">
        <v>30</v>
      </c>
      <c r="N19">
        <f t="shared" si="0"/>
        <v>52</v>
      </c>
    </row>
    <row r="20" spans="1:14" x14ac:dyDescent="0.3">
      <c r="A20">
        <v>422129</v>
      </c>
      <c r="M20" s="3">
        <v>15</v>
      </c>
      <c r="N20">
        <f t="shared" si="0"/>
        <v>15</v>
      </c>
    </row>
    <row r="21" spans="1:14" x14ac:dyDescent="0.3">
      <c r="A21">
        <v>422130</v>
      </c>
      <c r="C21" s="3">
        <v>20</v>
      </c>
      <c r="N21">
        <f t="shared" si="0"/>
        <v>20</v>
      </c>
    </row>
    <row r="22" spans="1:14" x14ac:dyDescent="0.3">
      <c r="A22">
        <v>422131</v>
      </c>
      <c r="E22" s="3">
        <v>20</v>
      </c>
      <c r="K22" s="3">
        <v>10</v>
      </c>
      <c r="N22">
        <f t="shared" si="0"/>
        <v>30</v>
      </c>
    </row>
    <row r="23" spans="1:14" x14ac:dyDescent="0.3">
      <c r="A23">
        <v>422132</v>
      </c>
      <c r="N23">
        <f t="shared" si="0"/>
        <v>0</v>
      </c>
    </row>
    <row r="24" spans="1:14" x14ac:dyDescent="0.3">
      <c r="A24">
        <v>422133</v>
      </c>
      <c r="H24" s="3">
        <v>20</v>
      </c>
      <c r="N24">
        <f t="shared" si="0"/>
        <v>20</v>
      </c>
    </row>
    <row r="25" spans="1:14" x14ac:dyDescent="0.3">
      <c r="A25">
        <v>422134</v>
      </c>
      <c r="H25" s="3">
        <v>30</v>
      </c>
      <c r="I25" s="3">
        <v>20</v>
      </c>
      <c r="N25">
        <f t="shared" si="0"/>
        <v>50</v>
      </c>
    </row>
    <row r="26" spans="1:14" x14ac:dyDescent="0.3">
      <c r="A26">
        <v>422135</v>
      </c>
      <c r="E26" s="3">
        <v>30</v>
      </c>
      <c r="M26" s="3">
        <v>15</v>
      </c>
      <c r="N26">
        <f t="shared" si="0"/>
        <v>45</v>
      </c>
    </row>
    <row r="27" spans="1:14" x14ac:dyDescent="0.3">
      <c r="A27">
        <v>422136</v>
      </c>
      <c r="N27">
        <f t="shared" si="0"/>
        <v>0</v>
      </c>
    </row>
    <row r="28" spans="1:14" x14ac:dyDescent="0.3">
      <c r="A28">
        <v>422137</v>
      </c>
      <c r="I28" s="3">
        <v>30</v>
      </c>
      <c r="K28" s="3">
        <v>15</v>
      </c>
      <c r="N28">
        <f t="shared" si="0"/>
        <v>45</v>
      </c>
    </row>
    <row r="29" spans="1:14" x14ac:dyDescent="0.3">
      <c r="A29">
        <v>422138</v>
      </c>
      <c r="D29" s="3">
        <v>20</v>
      </c>
      <c r="N29">
        <f t="shared" si="0"/>
        <v>20</v>
      </c>
    </row>
    <row r="30" spans="1:14" x14ac:dyDescent="0.3">
      <c r="A30">
        <v>422139</v>
      </c>
      <c r="E30" s="3">
        <v>20</v>
      </c>
      <c r="G30" s="3">
        <v>15</v>
      </c>
      <c r="N30">
        <f t="shared" si="0"/>
        <v>35</v>
      </c>
    </row>
    <row r="31" spans="1:14" x14ac:dyDescent="0.3">
      <c r="A31">
        <v>422140</v>
      </c>
      <c r="G31" s="3">
        <v>50</v>
      </c>
      <c r="L31" s="3">
        <v>13</v>
      </c>
      <c r="N31">
        <f t="shared" si="0"/>
        <v>63</v>
      </c>
    </row>
    <row r="32" spans="1:14" x14ac:dyDescent="0.3">
      <c r="A32">
        <v>422141</v>
      </c>
      <c r="M32" s="3">
        <v>7</v>
      </c>
      <c r="N32">
        <f t="shared" si="0"/>
        <v>7</v>
      </c>
    </row>
    <row r="33" spans="1:14" x14ac:dyDescent="0.3">
      <c r="A33">
        <v>422142</v>
      </c>
      <c r="G33" s="3">
        <v>30</v>
      </c>
      <c r="N33">
        <f t="shared" si="0"/>
        <v>30</v>
      </c>
    </row>
    <row r="34" spans="1:14" x14ac:dyDescent="0.3">
      <c r="A34">
        <v>422143</v>
      </c>
      <c r="G34" s="3">
        <v>40</v>
      </c>
      <c r="H34" s="3">
        <v>18</v>
      </c>
      <c r="N34">
        <f t="shared" si="0"/>
        <v>58</v>
      </c>
    </row>
    <row r="35" spans="1:14" x14ac:dyDescent="0.3">
      <c r="A35">
        <v>422144</v>
      </c>
      <c r="G35" s="3">
        <v>30</v>
      </c>
      <c r="I35" s="3">
        <v>24</v>
      </c>
      <c r="N35">
        <f t="shared" si="0"/>
        <v>54</v>
      </c>
    </row>
    <row r="36" spans="1:14" x14ac:dyDescent="0.3">
      <c r="A36">
        <v>422145</v>
      </c>
      <c r="D36" s="3">
        <v>22</v>
      </c>
      <c r="N36">
        <f t="shared" si="0"/>
        <v>22</v>
      </c>
    </row>
    <row r="37" spans="1:14" x14ac:dyDescent="0.3">
      <c r="A37">
        <v>422146</v>
      </c>
      <c r="G37" s="3">
        <v>30</v>
      </c>
      <c r="H37" s="3">
        <v>25</v>
      </c>
      <c r="M37" s="3">
        <v>7</v>
      </c>
      <c r="N37">
        <f t="shared" si="0"/>
        <v>62</v>
      </c>
    </row>
    <row r="38" spans="1:14" x14ac:dyDescent="0.3">
      <c r="A38">
        <v>422147</v>
      </c>
      <c r="E38" s="3">
        <v>17</v>
      </c>
      <c r="G38" s="3">
        <v>60</v>
      </c>
      <c r="H38" s="3">
        <v>30</v>
      </c>
      <c r="N38">
        <f t="shared" si="0"/>
        <v>107</v>
      </c>
    </row>
    <row r="39" spans="1:14" x14ac:dyDescent="0.3">
      <c r="A39">
        <v>422148</v>
      </c>
      <c r="E39" s="3">
        <v>25</v>
      </c>
      <c r="I39" s="3">
        <v>7</v>
      </c>
      <c r="N39">
        <f t="shared" si="0"/>
        <v>32</v>
      </c>
    </row>
    <row r="40" spans="1:14" x14ac:dyDescent="0.3">
      <c r="A40" t="s">
        <v>87</v>
      </c>
      <c r="B40" s="3">
        <f>COUNT(B2:B39)</f>
        <v>0</v>
      </c>
      <c r="C40" s="3">
        <f t="shared" ref="C40:M40" si="1">COUNT(C2:C39)</f>
        <v>5</v>
      </c>
      <c r="D40" s="3">
        <f t="shared" si="1"/>
        <v>2</v>
      </c>
      <c r="E40" s="3">
        <f t="shared" si="1"/>
        <v>9</v>
      </c>
      <c r="F40" s="3">
        <f t="shared" si="1"/>
        <v>3</v>
      </c>
      <c r="G40" s="3">
        <f t="shared" si="1"/>
        <v>12</v>
      </c>
      <c r="H40" s="3">
        <f t="shared" si="1"/>
        <v>11</v>
      </c>
      <c r="I40" s="3">
        <f t="shared" si="1"/>
        <v>6</v>
      </c>
      <c r="J40" s="3">
        <f t="shared" si="1"/>
        <v>1</v>
      </c>
      <c r="K40" s="3">
        <f t="shared" si="1"/>
        <v>3</v>
      </c>
      <c r="L40" s="3">
        <f t="shared" si="1"/>
        <v>3</v>
      </c>
      <c r="M40" s="3">
        <f t="shared" si="1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AL41"/>
  <sheetViews>
    <sheetView tabSelected="1" topLeftCell="A17" zoomScaleNormal="100" workbookViewId="0">
      <selection activeCell="A2" sqref="A2"/>
    </sheetView>
  </sheetViews>
  <sheetFormatPr defaultColWidth="8.77734375" defaultRowHeight="14.4" x14ac:dyDescent="0.3"/>
  <cols>
    <col min="1" max="1" width="10.44140625" style="8" bestFit="1" customWidth="1"/>
    <col min="2" max="2" width="9.44140625" style="8" bestFit="1" customWidth="1"/>
    <col min="3" max="3" width="8.77734375" style="8" customWidth="1"/>
    <col min="4" max="5" width="9.44140625" style="8" bestFit="1" customWidth="1"/>
    <col min="6" max="6" width="8.77734375" style="8" customWidth="1"/>
    <col min="7" max="7" width="8.77734375" style="8" hidden="1" customWidth="1"/>
    <col min="8" max="8" width="8.77734375" style="8" customWidth="1"/>
    <col min="9" max="9" width="18.44140625" style="8" hidden="1" customWidth="1"/>
    <col min="10" max="11" width="8.77734375" style="8" hidden="1" customWidth="1"/>
    <col min="12" max="12" width="13.21875" style="8" customWidth="1"/>
    <col min="13" max="14" width="17.77734375" style="8" hidden="1" customWidth="1"/>
    <col min="15" max="15" width="16.21875" style="8" customWidth="1"/>
    <col min="16" max="16" width="12" style="8" customWidth="1"/>
    <col min="17" max="21" width="12" style="8" hidden="1" customWidth="1"/>
    <col min="22" max="26" width="8.77734375" style="8" hidden="1" customWidth="1"/>
    <col min="27" max="27" width="8.77734375" style="8" customWidth="1"/>
    <col min="28" max="30" width="8.77734375" style="12" customWidth="1"/>
    <col min="31" max="31" width="8.77734375" style="8"/>
    <col min="32" max="32" width="8.77734375" style="8" customWidth="1"/>
    <col min="33" max="33" width="8.77734375" style="12"/>
    <col min="35" max="35" width="8.77734375" style="14"/>
    <col min="38" max="38" width="8.77734375" style="14"/>
  </cols>
  <sheetData>
    <row r="1" spans="1:38" s="4" customFormat="1" ht="42.75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 t="s">
        <v>74</v>
      </c>
      <c r="I1" s="5" t="s">
        <v>78</v>
      </c>
      <c r="J1" s="5" t="s">
        <v>72</v>
      </c>
      <c r="K1" s="5" t="s">
        <v>71</v>
      </c>
      <c r="L1" s="5" t="s">
        <v>75</v>
      </c>
      <c r="M1" s="5" t="s">
        <v>79</v>
      </c>
      <c r="N1" s="5" t="s">
        <v>80</v>
      </c>
      <c r="O1" s="5" t="s">
        <v>76</v>
      </c>
      <c r="P1" s="5" t="s">
        <v>77</v>
      </c>
      <c r="Q1" s="5" t="s">
        <v>83</v>
      </c>
      <c r="R1" s="5" t="s">
        <v>84</v>
      </c>
      <c r="S1" s="5" t="s">
        <v>85</v>
      </c>
      <c r="T1" s="5" t="s">
        <v>86</v>
      </c>
      <c r="U1" s="5"/>
      <c r="V1" s="5"/>
      <c r="W1" s="5" t="s">
        <v>68</v>
      </c>
      <c r="X1" s="5"/>
      <c r="Y1" s="5"/>
      <c r="Z1" s="5" t="s">
        <v>70</v>
      </c>
      <c r="AA1" s="6" t="str">
        <f>'Line downtime'!B1</f>
        <v>Emergency stop</v>
      </c>
      <c r="AB1" s="13" t="str">
        <f>'Line downtime'!C1</f>
        <v>Batch change</v>
      </c>
      <c r="AC1" s="13" t="str">
        <f>'Line downtime'!D1</f>
        <v>Labeling error</v>
      </c>
      <c r="AD1" s="13" t="str">
        <f>'Line downtime'!E1</f>
        <v>Inventory shortage</v>
      </c>
      <c r="AE1" s="6" t="str">
        <f>'Line downtime'!F1</f>
        <v>Product spill</v>
      </c>
      <c r="AF1" s="6" t="str">
        <f>'Line downtime'!G1</f>
        <v>Machine adjustment</v>
      </c>
      <c r="AG1" s="13" t="str">
        <f>'Line downtime'!H1</f>
        <v>Machine failure</v>
      </c>
      <c r="AH1" s="6" t="str">
        <f>'Line downtime'!I1</f>
        <v>Batch coding error</v>
      </c>
      <c r="AI1" s="13" t="str">
        <f>'Line downtime'!J1</f>
        <v>Conveyor belt jam</v>
      </c>
      <c r="AJ1" s="6" t="str">
        <f>'Line downtime'!K1</f>
        <v>Calibration error</v>
      </c>
      <c r="AK1" s="6" t="str">
        <f>'Line downtime'!L1</f>
        <v>Label switch</v>
      </c>
      <c r="AL1" s="13" t="str">
        <f>'Line downtime'!M1</f>
        <v>Other</v>
      </c>
    </row>
    <row r="2" spans="1:38" x14ac:dyDescent="0.3">
      <c r="A2" s="7">
        <v>45533</v>
      </c>
      <c r="B2" s="8" t="s">
        <v>24</v>
      </c>
      <c r="C2" s="8">
        <v>422111</v>
      </c>
      <c r="D2" s="8" t="s">
        <v>42</v>
      </c>
      <c r="E2" s="9">
        <v>0.49305555555555558</v>
      </c>
      <c r="F2" s="9">
        <v>0.58680555555555558</v>
      </c>
      <c r="G2" s="9">
        <f>F2-E2</f>
        <v>9.375E-2</v>
      </c>
      <c r="H2" s="11">
        <f t="shared" ref="H2:H39" si="0">G2*1440</f>
        <v>135</v>
      </c>
      <c r="I2" s="11">
        <f>IF(J2=2,1200,600)</f>
        <v>1200</v>
      </c>
      <c r="J2" s="16">
        <v>2</v>
      </c>
      <c r="K2" s="11">
        <v>600</v>
      </c>
      <c r="L2" s="11">
        <v>60</v>
      </c>
      <c r="M2" s="20">
        <f t="shared" ref="M2:M8" si="1">($L$40-$N$2)/$L$40</f>
        <v>0.8502024291497976</v>
      </c>
      <c r="N2" s="11">
        <f>(O9+O23+O22+O21+O11+O10+O29+O28+O24+O31+O30)</f>
        <v>369.99999999999994</v>
      </c>
      <c r="O2" s="11">
        <f t="shared" ref="O2" si="2">H2-L2</f>
        <v>75</v>
      </c>
      <c r="P2" s="11">
        <f t="shared" ref="P2" si="3">L2*100/H2</f>
        <v>44.444444444444443</v>
      </c>
      <c r="Q2" s="22">
        <f t="shared" ref="Q2" si="4">660/1030</f>
        <v>0.64077669902912626</v>
      </c>
      <c r="R2" s="22">
        <f t="shared" ref="R2" si="5">774/1158</f>
        <v>0.66839378238341973</v>
      </c>
      <c r="S2" s="22">
        <f>518/850</f>
        <v>0.60941176470588232</v>
      </c>
      <c r="T2" s="22">
        <f t="shared" ref="T2" si="6">518/820</f>
        <v>0.63170731707317074</v>
      </c>
      <c r="U2" s="11"/>
      <c r="V2" s="11">
        <f>100-P2</f>
        <v>55.555555555555557</v>
      </c>
      <c r="W2" s="9"/>
      <c r="X2" s="9"/>
      <c r="Y2" s="9"/>
      <c r="Z2" s="11">
        <f t="shared" ref="Z2:Z39" si="7">SUM(AC2+AD2+AG2+AI2+AL2)</f>
        <v>15</v>
      </c>
      <c r="AA2" s="6">
        <f>'Line downtime'!B2</f>
        <v>0</v>
      </c>
      <c r="AB2" s="6">
        <f>'Line downtime'!C2</f>
        <v>60</v>
      </c>
      <c r="AC2" s="6">
        <f>'Line downtime'!D2</f>
        <v>0</v>
      </c>
      <c r="AD2" s="6">
        <f>'Line downtime'!E2</f>
        <v>0</v>
      </c>
      <c r="AE2" s="6">
        <f>'Line downtime'!F2</f>
        <v>0</v>
      </c>
      <c r="AF2" s="6">
        <f>'Line downtime'!G2</f>
        <v>0</v>
      </c>
      <c r="AG2" s="6">
        <f>'Line downtime'!H2</f>
        <v>15</v>
      </c>
      <c r="AH2" s="6">
        <f>'Line downtime'!I2</f>
        <v>0</v>
      </c>
      <c r="AI2" s="6">
        <f>'Line downtime'!J2</f>
        <v>0</v>
      </c>
      <c r="AJ2" s="6">
        <f>'Line downtime'!K2</f>
        <v>0</v>
      </c>
      <c r="AK2" s="6">
        <f>'Line downtime'!L2</f>
        <v>0</v>
      </c>
      <c r="AL2" s="6">
        <f>'Line downtime'!M2</f>
        <v>0</v>
      </c>
    </row>
    <row r="3" spans="1:38" x14ac:dyDescent="0.3">
      <c r="A3" s="7">
        <v>45533</v>
      </c>
      <c r="B3" s="8" t="s">
        <v>25</v>
      </c>
      <c r="C3" s="8">
        <v>422112</v>
      </c>
      <c r="D3" s="8" t="s">
        <v>42</v>
      </c>
      <c r="E3" s="9">
        <v>0.58680555555555558</v>
      </c>
      <c r="F3" s="9">
        <v>0.65625</v>
      </c>
      <c r="G3" s="9">
        <f t="shared" ref="G3:G39" si="8">F3-E3</f>
        <v>6.944444444444442E-2</v>
      </c>
      <c r="H3" s="11">
        <f t="shared" si="0"/>
        <v>99.999999999999972</v>
      </c>
      <c r="I3" s="11">
        <v>600</v>
      </c>
      <c r="J3" s="16">
        <v>2</v>
      </c>
      <c r="K3" s="11">
        <v>600</v>
      </c>
      <c r="L3" s="11">
        <v>60</v>
      </c>
      <c r="M3" s="20">
        <f t="shared" si="1"/>
        <v>0.8502024291497976</v>
      </c>
      <c r="N3" s="11"/>
      <c r="O3" s="11">
        <f t="shared" ref="O3:O39" si="9">H3-L3</f>
        <v>39.999999999999972</v>
      </c>
      <c r="P3" s="11">
        <f t="shared" ref="P3:P39" si="10">L3*100/H3</f>
        <v>60.000000000000014</v>
      </c>
      <c r="Q3" s="22"/>
      <c r="R3" s="11"/>
      <c r="S3" s="11"/>
      <c r="T3" s="11"/>
      <c r="U3" s="11"/>
      <c r="V3" s="11">
        <f t="shared" ref="V3:V39" si="11">100-P3</f>
        <v>39.999999999999986</v>
      </c>
      <c r="W3" s="9"/>
      <c r="X3" s="9"/>
      <c r="Y3" s="9"/>
      <c r="Z3" s="11">
        <f t="shared" si="7"/>
        <v>0</v>
      </c>
      <c r="AA3" s="6">
        <f>'Line downtime'!B3</f>
        <v>0</v>
      </c>
      <c r="AB3" s="6">
        <f>'Line downtime'!C3</f>
        <v>20</v>
      </c>
      <c r="AC3" s="6">
        <f>'Line downtime'!D3</f>
        <v>0</v>
      </c>
      <c r="AD3" s="6">
        <f>'Line downtime'!E3</f>
        <v>0</v>
      </c>
      <c r="AE3" s="6">
        <f>'Line downtime'!F3</f>
        <v>0</v>
      </c>
      <c r="AF3" s="6">
        <f>'Line downtime'!G3</f>
        <v>0</v>
      </c>
      <c r="AG3" s="6">
        <f>'Line downtime'!H3</f>
        <v>0</v>
      </c>
      <c r="AH3" s="6">
        <f>'Line downtime'!I3</f>
        <v>20</v>
      </c>
      <c r="AI3" s="6">
        <f>'Line downtime'!J3</f>
        <v>0</v>
      </c>
      <c r="AJ3" s="6">
        <f>'Line downtime'!K3</f>
        <v>0</v>
      </c>
      <c r="AK3" s="6">
        <f>'Line downtime'!L3</f>
        <v>0</v>
      </c>
      <c r="AL3" s="6">
        <f>'Line downtime'!M3</f>
        <v>0</v>
      </c>
    </row>
    <row r="4" spans="1:38" x14ac:dyDescent="0.3">
      <c r="A4" s="7">
        <v>45533</v>
      </c>
      <c r="B4" s="8" t="s">
        <v>25</v>
      </c>
      <c r="C4" s="8">
        <v>422113</v>
      </c>
      <c r="D4" s="8" t="s">
        <v>42</v>
      </c>
      <c r="E4" s="9">
        <v>0.65625</v>
      </c>
      <c r="F4" s="9">
        <v>0.73263888888888884</v>
      </c>
      <c r="G4" s="9">
        <f t="shared" si="8"/>
        <v>7.638888888888884E-2</v>
      </c>
      <c r="H4" s="11">
        <f t="shared" si="0"/>
        <v>109.99999999999993</v>
      </c>
      <c r="I4" s="11">
        <f t="shared" ref="I4:I34" si="12">IF(J4=2,1200,600)</f>
        <v>1200</v>
      </c>
      <c r="J4" s="16">
        <v>2</v>
      </c>
      <c r="K4" s="11">
        <v>600</v>
      </c>
      <c r="L4" s="11">
        <v>60</v>
      </c>
      <c r="M4" s="20">
        <f t="shared" si="1"/>
        <v>0.8502024291497976</v>
      </c>
      <c r="N4" s="11"/>
      <c r="O4" s="11">
        <f t="shared" si="9"/>
        <v>49.999999999999929</v>
      </c>
      <c r="P4" s="11">
        <f t="shared" si="10"/>
        <v>54.545454545454582</v>
      </c>
      <c r="Q4" s="22"/>
      <c r="R4" s="11"/>
      <c r="S4" s="11"/>
      <c r="T4" s="11"/>
      <c r="U4" s="11"/>
      <c r="V4" s="11">
        <f t="shared" si="11"/>
        <v>45.454545454545418</v>
      </c>
      <c r="W4" s="9"/>
      <c r="X4" s="9"/>
      <c r="Y4" s="9"/>
      <c r="Z4" s="11">
        <f t="shared" si="7"/>
        <v>0</v>
      </c>
      <c r="AA4" s="6">
        <f>'Line downtime'!B4</f>
        <v>0</v>
      </c>
      <c r="AB4" s="6">
        <f>'Line downtime'!C4</f>
        <v>50</v>
      </c>
      <c r="AC4" s="6">
        <f>'Line downtime'!D4</f>
        <v>0</v>
      </c>
      <c r="AD4" s="6">
        <f>'Line downtime'!E4</f>
        <v>0</v>
      </c>
      <c r="AE4" s="6">
        <f>'Line downtime'!F4</f>
        <v>0</v>
      </c>
      <c r="AF4" s="6">
        <f>'Line downtime'!G4</f>
        <v>0</v>
      </c>
      <c r="AG4" s="6">
        <f>'Line downtime'!H4</f>
        <v>0</v>
      </c>
      <c r="AH4" s="6">
        <f>'Line downtime'!I4</f>
        <v>0</v>
      </c>
      <c r="AI4" s="6">
        <f>'Line downtime'!J4</f>
        <v>0</v>
      </c>
      <c r="AJ4" s="6">
        <f>'Line downtime'!K4</f>
        <v>0</v>
      </c>
      <c r="AK4" s="6">
        <f>'Line downtime'!L4</f>
        <v>0</v>
      </c>
      <c r="AL4" s="6">
        <f>'Line downtime'!M4</f>
        <v>0</v>
      </c>
    </row>
    <row r="5" spans="1:38" x14ac:dyDescent="0.3">
      <c r="A5" s="7">
        <v>45533</v>
      </c>
      <c r="B5" s="8" t="s">
        <v>25</v>
      </c>
      <c r="C5" s="8">
        <v>422114</v>
      </c>
      <c r="D5" s="8" t="s">
        <v>42</v>
      </c>
      <c r="E5" s="9">
        <v>0.73263888888888884</v>
      </c>
      <c r="F5" s="9">
        <v>0.80208333333333326</v>
      </c>
      <c r="G5" s="9">
        <f t="shared" si="8"/>
        <v>6.944444444444442E-2</v>
      </c>
      <c r="H5" s="11">
        <f t="shared" si="0"/>
        <v>99.999999999999972</v>
      </c>
      <c r="I5" s="11">
        <f t="shared" si="12"/>
        <v>1200</v>
      </c>
      <c r="J5" s="16">
        <v>2</v>
      </c>
      <c r="K5" s="11">
        <v>600</v>
      </c>
      <c r="L5" s="11">
        <v>60</v>
      </c>
      <c r="M5" s="20">
        <f t="shared" si="1"/>
        <v>0.8502024291497976</v>
      </c>
      <c r="N5" s="11"/>
      <c r="O5" s="11">
        <f t="shared" si="9"/>
        <v>39.999999999999972</v>
      </c>
      <c r="P5" s="11">
        <f t="shared" si="10"/>
        <v>60.000000000000014</v>
      </c>
      <c r="Q5" s="22"/>
      <c r="R5" s="11"/>
      <c r="S5" s="11"/>
      <c r="T5" s="11"/>
      <c r="U5" s="11"/>
      <c r="V5" s="11">
        <f t="shared" si="11"/>
        <v>39.999999999999986</v>
      </c>
      <c r="W5" s="9"/>
      <c r="X5" s="9"/>
      <c r="Y5" s="9"/>
      <c r="Z5" s="11">
        <f t="shared" si="7"/>
        <v>25</v>
      </c>
      <c r="AA5" s="6">
        <f>'Line downtime'!B5</f>
        <v>0</v>
      </c>
      <c r="AB5" s="6">
        <f>'Line downtime'!C5</f>
        <v>0</v>
      </c>
      <c r="AC5" s="6">
        <f>'Line downtime'!D5</f>
        <v>0</v>
      </c>
      <c r="AD5" s="6">
        <f>'Line downtime'!E5</f>
        <v>25</v>
      </c>
      <c r="AE5" s="6">
        <f>'Line downtime'!F5</f>
        <v>0</v>
      </c>
      <c r="AF5" s="6">
        <f>'Line downtime'!G5</f>
        <v>15</v>
      </c>
      <c r="AG5" s="6">
        <f>'Line downtime'!H5</f>
        <v>0</v>
      </c>
      <c r="AH5" s="6">
        <f>'Line downtime'!I5</f>
        <v>0</v>
      </c>
      <c r="AI5" s="6">
        <f>'Line downtime'!J5</f>
        <v>0</v>
      </c>
      <c r="AJ5" s="6">
        <f>'Line downtime'!K5</f>
        <v>0</v>
      </c>
      <c r="AK5" s="6">
        <f>'Line downtime'!L5</f>
        <v>0</v>
      </c>
      <c r="AL5" s="6">
        <f>'Line downtime'!M5</f>
        <v>0</v>
      </c>
    </row>
    <row r="6" spans="1:38" x14ac:dyDescent="0.3">
      <c r="A6" s="7">
        <v>45533</v>
      </c>
      <c r="B6" s="8" t="s">
        <v>25</v>
      </c>
      <c r="C6" s="8">
        <v>422115</v>
      </c>
      <c r="D6" s="8" t="s">
        <v>39</v>
      </c>
      <c r="E6" s="9">
        <v>0.80208333333333326</v>
      </c>
      <c r="F6" s="9">
        <v>0.86041666666666661</v>
      </c>
      <c r="G6" s="9">
        <f t="shared" si="8"/>
        <v>5.8333333333333348E-2</v>
      </c>
      <c r="H6" s="11">
        <f t="shared" si="0"/>
        <v>84.000000000000028</v>
      </c>
      <c r="I6" s="11">
        <f t="shared" si="12"/>
        <v>600</v>
      </c>
      <c r="J6" s="16">
        <v>1</v>
      </c>
      <c r="K6" s="11">
        <v>600</v>
      </c>
      <c r="L6" s="11">
        <v>60</v>
      </c>
      <c r="M6" s="20">
        <f t="shared" si="1"/>
        <v>0.8502024291497976</v>
      </c>
      <c r="N6" s="11"/>
      <c r="O6" s="11">
        <f t="shared" si="9"/>
        <v>24.000000000000028</v>
      </c>
      <c r="P6" s="11">
        <f t="shared" si="10"/>
        <v>71.428571428571402</v>
      </c>
      <c r="Q6" s="22"/>
      <c r="R6" s="11"/>
      <c r="S6" s="11"/>
      <c r="T6" s="11"/>
      <c r="U6" s="11"/>
      <c r="V6" s="11">
        <f t="shared" si="11"/>
        <v>28.571428571428598</v>
      </c>
      <c r="W6" s="11"/>
      <c r="X6" s="11"/>
      <c r="Y6" s="11">
        <f>SUM(AA6+AE6+AF6+AH6+AJ6+AK6)</f>
        <v>24</v>
      </c>
      <c r="Z6" s="11">
        <f>SUM(AC6+AD6+AG6+AI6+AL6+AB6)</f>
        <v>0</v>
      </c>
      <c r="AA6" s="6">
        <f>'Line downtime'!B6</f>
        <v>0</v>
      </c>
      <c r="AB6" s="13">
        <f>'Line downtime'!C6</f>
        <v>0</v>
      </c>
      <c r="AC6" s="13">
        <f>'Line downtime'!D6</f>
        <v>0</v>
      </c>
      <c r="AD6" s="13">
        <f>'Line downtime'!E6</f>
        <v>0</v>
      </c>
      <c r="AE6" s="6">
        <f>'Line downtime'!F6</f>
        <v>0</v>
      </c>
      <c r="AF6" s="6">
        <f>'Line downtime'!G6</f>
        <v>0</v>
      </c>
      <c r="AG6" s="13">
        <f>'Line downtime'!H6</f>
        <v>0</v>
      </c>
      <c r="AH6" s="6">
        <f>'Line downtime'!I6</f>
        <v>0</v>
      </c>
      <c r="AI6" s="13">
        <f>'Line downtime'!J6</f>
        <v>0</v>
      </c>
      <c r="AJ6" s="6">
        <f>'Line downtime'!K6</f>
        <v>24</v>
      </c>
      <c r="AK6" s="6">
        <f>'Line downtime'!L6</f>
        <v>0</v>
      </c>
      <c r="AL6" s="13">
        <f>'Line downtime'!M6</f>
        <v>0</v>
      </c>
    </row>
    <row r="7" spans="1:38" x14ac:dyDescent="0.3">
      <c r="A7" s="7">
        <v>45533</v>
      </c>
      <c r="B7" s="8" t="s">
        <v>25</v>
      </c>
      <c r="C7" s="8">
        <v>422116</v>
      </c>
      <c r="D7" s="8" t="s">
        <v>39</v>
      </c>
      <c r="E7" s="9">
        <v>0.86041666666666661</v>
      </c>
      <c r="F7" s="9">
        <v>0.90208333333333324</v>
      </c>
      <c r="G7" s="9">
        <f t="shared" si="8"/>
        <v>4.166666666666663E-2</v>
      </c>
      <c r="H7" s="11">
        <f t="shared" si="0"/>
        <v>59.999999999999943</v>
      </c>
      <c r="I7" s="11">
        <f t="shared" si="12"/>
        <v>600</v>
      </c>
      <c r="J7" s="16">
        <v>1</v>
      </c>
      <c r="K7" s="11">
        <v>600</v>
      </c>
      <c r="L7" s="11">
        <v>60</v>
      </c>
      <c r="M7" s="20">
        <f t="shared" si="1"/>
        <v>0.8502024291497976</v>
      </c>
      <c r="N7" s="11"/>
      <c r="O7" s="11">
        <f t="shared" si="9"/>
        <v>-5.6843418860808015E-14</v>
      </c>
      <c r="P7" s="11">
        <f t="shared" si="10"/>
        <v>100.0000000000001</v>
      </c>
      <c r="Q7" s="22"/>
      <c r="R7" s="11"/>
      <c r="S7" s="11"/>
      <c r="T7" s="11"/>
      <c r="U7" s="11"/>
      <c r="V7" s="11">
        <f t="shared" si="11"/>
        <v>0</v>
      </c>
      <c r="W7" s="11"/>
      <c r="X7" s="11"/>
      <c r="Y7" s="11">
        <f t="shared" ref="Y7:Y8" si="13">SUM(AA7+AE7+AF7+AH7+AJ7+AK7)</f>
        <v>0</v>
      </c>
      <c r="Z7" s="11">
        <f t="shared" ref="Z7:Z8" si="14">SUM(AC7+AD7+AG7+AI7+AL7+AB7)</f>
        <v>0</v>
      </c>
      <c r="AA7" s="6">
        <f>'Line downtime'!B7</f>
        <v>0</v>
      </c>
      <c r="AB7" s="13">
        <f>'Line downtime'!C7</f>
        <v>0</v>
      </c>
      <c r="AC7" s="13">
        <f>'Line downtime'!D7</f>
        <v>0</v>
      </c>
      <c r="AD7" s="13">
        <f>'Line downtime'!E7</f>
        <v>0</v>
      </c>
      <c r="AE7" s="6">
        <f>'Line downtime'!F7</f>
        <v>0</v>
      </c>
      <c r="AF7" s="6">
        <f>'Line downtime'!G7</f>
        <v>0</v>
      </c>
      <c r="AG7" s="13">
        <f>'Line downtime'!H7</f>
        <v>0</v>
      </c>
      <c r="AH7" s="6">
        <f>'Line downtime'!I7</f>
        <v>0</v>
      </c>
      <c r="AI7" s="13">
        <f>'Line downtime'!J7</f>
        <v>0</v>
      </c>
      <c r="AJ7" s="6">
        <f>'Line downtime'!K7</f>
        <v>0</v>
      </c>
      <c r="AK7" s="6">
        <f>'Line downtime'!L7</f>
        <v>0</v>
      </c>
      <c r="AL7" s="13">
        <f>'Line downtime'!M7</f>
        <v>0</v>
      </c>
    </row>
    <row r="8" spans="1:38" x14ac:dyDescent="0.3">
      <c r="A8" s="7">
        <v>45533</v>
      </c>
      <c r="B8" s="8" t="s">
        <v>25</v>
      </c>
      <c r="C8" s="8">
        <v>422117</v>
      </c>
      <c r="D8" s="8" t="s">
        <v>39</v>
      </c>
      <c r="E8" s="9">
        <v>0.90208333333333324</v>
      </c>
      <c r="F8" s="9">
        <v>0.95416666666666661</v>
      </c>
      <c r="G8" s="9">
        <f t="shared" si="8"/>
        <v>5.208333333333337E-2</v>
      </c>
      <c r="H8" s="11">
        <f t="shared" si="0"/>
        <v>75.000000000000057</v>
      </c>
      <c r="I8" s="11">
        <f t="shared" si="12"/>
        <v>600</v>
      </c>
      <c r="J8" s="16">
        <v>1</v>
      </c>
      <c r="K8" s="11">
        <v>600</v>
      </c>
      <c r="L8" s="11">
        <v>60</v>
      </c>
      <c r="M8" s="20">
        <f t="shared" si="1"/>
        <v>0.8502024291497976</v>
      </c>
      <c r="N8" s="11"/>
      <c r="O8" s="11">
        <f t="shared" si="9"/>
        <v>15.000000000000057</v>
      </c>
      <c r="P8" s="11">
        <f t="shared" si="10"/>
        <v>79.999999999999943</v>
      </c>
      <c r="Q8" s="22"/>
      <c r="R8" s="11"/>
      <c r="S8" s="11"/>
      <c r="T8" s="11"/>
      <c r="U8" s="11"/>
      <c r="V8" s="11">
        <f t="shared" si="11"/>
        <v>20.000000000000057</v>
      </c>
      <c r="W8" s="11"/>
      <c r="X8" s="11"/>
      <c r="Y8" s="11">
        <f t="shared" si="13"/>
        <v>5</v>
      </c>
      <c r="Z8" s="11">
        <f t="shared" si="14"/>
        <v>10</v>
      </c>
      <c r="AA8" s="6">
        <f>'Line downtime'!B8</f>
        <v>0</v>
      </c>
      <c r="AB8" s="13">
        <f>'Line downtime'!C8</f>
        <v>10</v>
      </c>
      <c r="AC8" s="13">
        <f>'Line downtime'!D8</f>
        <v>0</v>
      </c>
      <c r="AD8" s="13">
        <f>'Line downtime'!E8</f>
        <v>0</v>
      </c>
      <c r="AE8" s="6">
        <f>'Line downtime'!F8</f>
        <v>0</v>
      </c>
      <c r="AF8" s="6">
        <f>'Line downtime'!G8</f>
        <v>5</v>
      </c>
      <c r="AG8" s="13">
        <f>'Line downtime'!H8</f>
        <v>0</v>
      </c>
      <c r="AH8" s="6">
        <f>'Line downtime'!I8</f>
        <v>0</v>
      </c>
      <c r="AI8" s="13">
        <f>'Line downtime'!J8</f>
        <v>0</v>
      </c>
      <c r="AJ8" s="6">
        <f>'Line downtime'!K8</f>
        <v>0</v>
      </c>
      <c r="AK8" s="6">
        <f>'Line downtime'!L8</f>
        <v>0</v>
      </c>
      <c r="AL8" s="13">
        <f>'Line downtime'!M8</f>
        <v>0</v>
      </c>
    </row>
    <row r="9" spans="1:38" x14ac:dyDescent="0.3">
      <c r="A9" s="18">
        <v>45534</v>
      </c>
      <c r="B9" s="8" t="s">
        <v>26</v>
      </c>
      <c r="C9" s="8">
        <v>422118</v>
      </c>
      <c r="D9" s="17" t="s">
        <v>40</v>
      </c>
      <c r="E9" s="9">
        <v>0.1701388888888889</v>
      </c>
      <c r="F9" s="9">
        <v>0.25347222222222221</v>
      </c>
      <c r="G9" s="9">
        <f t="shared" si="8"/>
        <v>8.3333333333333315E-2</v>
      </c>
      <c r="H9" s="11">
        <f t="shared" si="0"/>
        <v>119.99999999999997</v>
      </c>
      <c r="I9" s="11">
        <f t="shared" si="12"/>
        <v>1200</v>
      </c>
      <c r="J9" s="16">
        <v>2</v>
      </c>
      <c r="K9" s="11">
        <v>600</v>
      </c>
      <c r="L9" s="11">
        <v>60</v>
      </c>
      <c r="M9" s="20">
        <f>($L$40-$N$2)/$L$40</f>
        <v>0.8502024291497976</v>
      </c>
      <c r="N9" s="11"/>
      <c r="O9" s="19">
        <f t="shared" si="9"/>
        <v>59.999999999999972</v>
      </c>
      <c r="P9" s="11">
        <f t="shared" si="10"/>
        <v>50.000000000000014</v>
      </c>
      <c r="Q9" s="22"/>
      <c r="R9" s="22"/>
      <c r="S9" s="11"/>
      <c r="T9" s="11"/>
      <c r="U9" s="11"/>
      <c r="V9" s="11">
        <f t="shared" si="11"/>
        <v>49.999999999999986</v>
      </c>
      <c r="W9" s="9"/>
      <c r="X9" s="9"/>
      <c r="Y9" s="9"/>
      <c r="Z9" s="11">
        <f t="shared" si="7"/>
        <v>36</v>
      </c>
      <c r="AA9" s="6">
        <f>'Line downtime'!B9</f>
        <v>0</v>
      </c>
      <c r="AB9" s="6">
        <f>'Line downtime'!C9</f>
        <v>0</v>
      </c>
      <c r="AC9" s="6">
        <f>'Line downtime'!D9</f>
        <v>0</v>
      </c>
      <c r="AD9" s="6">
        <f>'Line downtime'!E9</f>
        <v>0</v>
      </c>
      <c r="AE9" s="6">
        <f>'Line downtime'!F9</f>
        <v>0</v>
      </c>
      <c r="AF9" s="6">
        <f>'Line downtime'!G9</f>
        <v>14</v>
      </c>
      <c r="AG9" s="6">
        <f>'Line downtime'!H9</f>
        <v>16</v>
      </c>
      <c r="AH9" s="6">
        <f>'Line downtime'!I9</f>
        <v>0</v>
      </c>
      <c r="AI9" s="6">
        <f>'Line downtime'!J9</f>
        <v>0</v>
      </c>
      <c r="AJ9" s="6">
        <f>'Line downtime'!K9</f>
        <v>0</v>
      </c>
      <c r="AK9" s="6">
        <f>'Line downtime'!L9</f>
        <v>10</v>
      </c>
      <c r="AL9" s="6">
        <f>'Line downtime'!M9</f>
        <v>20</v>
      </c>
    </row>
    <row r="10" spans="1:38" x14ac:dyDescent="0.3">
      <c r="A10" s="18">
        <v>45534</v>
      </c>
      <c r="B10" s="8" t="s">
        <v>26</v>
      </c>
      <c r="C10" s="8">
        <v>422119</v>
      </c>
      <c r="D10" s="17" t="s">
        <v>40</v>
      </c>
      <c r="E10" s="9">
        <v>0.25347222222222221</v>
      </c>
      <c r="F10" s="9">
        <v>0.3125</v>
      </c>
      <c r="G10" s="9">
        <f t="shared" si="8"/>
        <v>5.902777777777779E-2</v>
      </c>
      <c r="H10" s="11">
        <f t="shared" si="0"/>
        <v>85.000000000000014</v>
      </c>
      <c r="I10" s="11">
        <f t="shared" si="12"/>
        <v>600</v>
      </c>
      <c r="J10" s="16">
        <v>1</v>
      </c>
      <c r="K10" s="11">
        <v>600</v>
      </c>
      <c r="L10" s="11">
        <v>60</v>
      </c>
      <c r="M10" s="20">
        <f t="shared" ref="M10:M39" si="15">($L$40-$N$2)/$L$40</f>
        <v>0.8502024291497976</v>
      </c>
      <c r="N10" s="11"/>
      <c r="O10" s="19">
        <f t="shared" si="9"/>
        <v>25.000000000000014</v>
      </c>
      <c r="P10" s="11">
        <f t="shared" si="10"/>
        <v>70.588235294117638</v>
      </c>
      <c r="Q10" s="11"/>
      <c r="R10" s="11"/>
      <c r="S10" s="11"/>
      <c r="T10" s="11"/>
      <c r="U10" s="11"/>
      <c r="V10" s="11">
        <f t="shared" si="11"/>
        <v>29.411764705882362</v>
      </c>
      <c r="Z10" s="11">
        <f t="shared" si="7"/>
        <v>25</v>
      </c>
      <c r="AA10" s="6">
        <f>'Line downtime'!B10</f>
        <v>0</v>
      </c>
      <c r="AB10" s="6">
        <f>'Line downtime'!C10</f>
        <v>0</v>
      </c>
      <c r="AC10" s="6">
        <f>'Line downtime'!D10</f>
        <v>0</v>
      </c>
      <c r="AD10" s="6">
        <f>'Line downtime'!E10</f>
        <v>25</v>
      </c>
      <c r="AE10" s="6">
        <f>'Line downtime'!F10</f>
        <v>0</v>
      </c>
      <c r="AF10" s="6">
        <f>'Line downtime'!G10</f>
        <v>0</v>
      </c>
      <c r="AG10" s="6">
        <f>'Line downtime'!H10</f>
        <v>0</v>
      </c>
      <c r="AH10" s="6">
        <f>'Line downtime'!I10</f>
        <v>0</v>
      </c>
      <c r="AI10" s="6">
        <f>'Line downtime'!J10</f>
        <v>0</v>
      </c>
      <c r="AJ10" s="6">
        <f>'Line downtime'!K10</f>
        <v>0</v>
      </c>
      <c r="AK10" s="6">
        <f>'Line downtime'!L10</f>
        <v>0</v>
      </c>
      <c r="AL10" s="6">
        <f>'Line downtime'!M10</f>
        <v>0</v>
      </c>
    </row>
    <row r="11" spans="1:38" x14ac:dyDescent="0.3">
      <c r="A11" s="18">
        <v>45534</v>
      </c>
      <c r="B11" s="8" t="s">
        <v>26</v>
      </c>
      <c r="C11" s="8">
        <v>422120</v>
      </c>
      <c r="D11" s="17" t="s">
        <v>40</v>
      </c>
      <c r="E11" s="9">
        <v>0.3125</v>
      </c>
      <c r="F11" s="9">
        <v>0.39027777777777778</v>
      </c>
      <c r="G11" s="9">
        <f t="shared" si="8"/>
        <v>7.7777777777777779E-2</v>
      </c>
      <c r="H11" s="11">
        <f t="shared" si="0"/>
        <v>112</v>
      </c>
      <c r="I11" s="11">
        <f t="shared" si="12"/>
        <v>1200</v>
      </c>
      <c r="J11" s="16">
        <v>2</v>
      </c>
      <c r="K11" s="11">
        <v>600</v>
      </c>
      <c r="L11" s="11">
        <v>60</v>
      </c>
      <c r="M11" s="20">
        <f t="shared" si="15"/>
        <v>0.8502024291497976</v>
      </c>
      <c r="N11" s="11"/>
      <c r="O11" s="19">
        <f t="shared" si="9"/>
        <v>52</v>
      </c>
      <c r="P11" s="11">
        <f t="shared" si="10"/>
        <v>53.571428571428569</v>
      </c>
      <c r="Q11" s="11"/>
      <c r="R11" s="11"/>
      <c r="S11" s="11"/>
      <c r="T11" s="11"/>
      <c r="U11" s="11"/>
      <c r="V11" s="11">
        <f t="shared" si="11"/>
        <v>46.428571428571431</v>
      </c>
      <c r="Z11" s="11">
        <f t="shared" si="7"/>
        <v>37</v>
      </c>
      <c r="AA11" s="6">
        <f>'Line downtime'!B11</f>
        <v>0</v>
      </c>
      <c r="AB11" s="6">
        <f>'Line downtime'!C11</f>
        <v>0</v>
      </c>
      <c r="AC11" s="6">
        <f>'Line downtime'!D11</f>
        <v>0</v>
      </c>
      <c r="AD11" s="6">
        <f>'Line downtime'!E11</f>
        <v>20</v>
      </c>
      <c r="AE11" s="6">
        <f>'Line downtime'!F11</f>
        <v>15</v>
      </c>
      <c r="AF11" s="6">
        <f>'Line downtime'!G11</f>
        <v>0</v>
      </c>
      <c r="AG11" s="6">
        <f>'Line downtime'!H11</f>
        <v>0</v>
      </c>
      <c r="AH11" s="6">
        <f>'Line downtime'!I11</f>
        <v>0</v>
      </c>
      <c r="AI11" s="6">
        <f>'Line downtime'!J11</f>
        <v>17</v>
      </c>
      <c r="AJ11" s="6">
        <f>'Line downtime'!K11</f>
        <v>0</v>
      </c>
      <c r="AK11" s="6">
        <f>'Line downtime'!L11</f>
        <v>0</v>
      </c>
      <c r="AL11" s="6">
        <f>'Line downtime'!M11</f>
        <v>0</v>
      </c>
    </row>
    <row r="12" spans="1:38" x14ac:dyDescent="0.3">
      <c r="A12" s="7">
        <v>45534</v>
      </c>
      <c r="B12" s="8" t="s">
        <v>26</v>
      </c>
      <c r="C12" s="8">
        <v>422121</v>
      </c>
      <c r="D12" s="8" t="s">
        <v>41</v>
      </c>
      <c r="E12" s="9">
        <v>0.39027777777777778</v>
      </c>
      <c r="F12" s="9">
        <v>0.44236111111111109</v>
      </c>
      <c r="G12" s="9">
        <f t="shared" si="8"/>
        <v>5.2083333333333315E-2</v>
      </c>
      <c r="H12" s="11">
        <f t="shared" si="0"/>
        <v>74.999999999999972</v>
      </c>
      <c r="I12" s="11">
        <f t="shared" si="12"/>
        <v>600</v>
      </c>
      <c r="J12" s="16">
        <v>1</v>
      </c>
      <c r="K12" s="11">
        <v>600</v>
      </c>
      <c r="L12" s="11">
        <v>60</v>
      </c>
      <c r="M12" s="20">
        <f t="shared" si="15"/>
        <v>0.8502024291497976</v>
      </c>
      <c r="N12" s="11"/>
      <c r="O12" s="11">
        <f t="shared" si="9"/>
        <v>14.999999999999972</v>
      </c>
      <c r="P12" s="11">
        <f t="shared" si="10"/>
        <v>80.000000000000028</v>
      </c>
      <c r="Q12" s="11"/>
      <c r="R12" s="11"/>
      <c r="S12" s="11"/>
      <c r="T12" s="11"/>
      <c r="U12" s="11"/>
      <c r="V12" s="11">
        <f t="shared" si="11"/>
        <v>19.999999999999972</v>
      </c>
      <c r="Z12" s="11">
        <f t="shared" si="7"/>
        <v>15</v>
      </c>
      <c r="AA12" s="6">
        <f>'Line downtime'!B12</f>
        <v>0</v>
      </c>
      <c r="AB12" s="6">
        <f>'Line downtime'!C12</f>
        <v>0</v>
      </c>
      <c r="AC12" s="6">
        <f>'Line downtime'!D12</f>
        <v>0</v>
      </c>
      <c r="AD12" s="6">
        <f>'Line downtime'!E12</f>
        <v>0</v>
      </c>
      <c r="AE12" s="6">
        <f>'Line downtime'!F12</f>
        <v>0</v>
      </c>
      <c r="AF12" s="6">
        <f>'Line downtime'!G12</f>
        <v>0</v>
      </c>
      <c r="AG12" s="6">
        <f>'Line downtime'!H12</f>
        <v>15</v>
      </c>
      <c r="AH12" s="6">
        <f>'Line downtime'!I12</f>
        <v>0</v>
      </c>
      <c r="AI12" s="6">
        <f>'Line downtime'!J12</f>
        <v>0</v>
      </c>
      <c r="AJ12" s="6">
        <f>'Line downtime'!K12</f>
        <v>0</v>
      </c>
      <c r="AK12" s="6">
        <f>'Line downtime'!L12</f>
        <v>0</v>
      </c>
      <c r="AL12" s="6">
        <f>'Line downtime'!M12</f>
        <v>0</v>
      </c>
    </row>
    <row r="13" spans="1:38" x14ac:dyDescent="0.3">
      <c r="A13" s="7">
        <v>45534</v>
      </c>
      <c r="B13" s="8" t="s">
        <v>26</v>
      </c>
      <c r="C13" s="8">
        <v>422122</v>
      </c>
      <c r="D13" s="8" t="s">
        <v>41</v>
      </c>
      <c r="E13" s="9">
        <v>0.44236111111111109</v>
      </c>
      <c r="F13" s="9">
        <v>0.50138888888888888</v>
      </c>
      <c r="G13" s="9">
        <f t="shared" si="8"/>
        <v>5.902777777777779E-2</v>
      </c>
      <c r="H13" s="11">
        <f t="shared" si="0"/>
        <v>85.000000000000014</v>
      </c>
      <c r="I13" s="11">
        <f t="shared" si="12"/>
        <v>600</v>
      </c>
      <c r="J13" s="16">
        <v>1</v>
      </c>
      <c r="K13" s="11">
        <v>600</v>
      </c>
      <c r="L13" s="11">
        <v>60</v>
      </c>
      <c r="M13" s="20">
        <f t="shared" si="15"/>
        <v>0.8502024291497976</v>
      </c>
      <c r="N13" s="11"/>
      <c r="O13" s="11">
        <f t="shared" si="9"/>
        <v>25.000000000000014</v>
      </c>
      <c r="P13" s="11">
        <f t="shared" si="10"/>
        <v>70.588235294117638</v>
      </c>
      <c r="Q13" s="11"/>
      <c r="R13" s="11"/>
      <c r="S13" s="11"/>
      <c r="T13" s="11"/>
      <c r="U13" s="11"/>
      <c r="V13" s="11">
        <f t="shared" si="11"/>
        <v>29.411764705882362</v>
      </c>
      <c r="Z13" s="11">
        <f t="shared" si="7"/>
        <v>25</v>
      </c>
      <c r="AA13" s="6">
        <f>'Line downtime'!B13</f>
        <v>0</v>
      </c>
      <c r="AB13" s="6">
        <f>'Line downtime'!C13</f>
        <v>0</v>
      </c>
      <c r="AC13" s="6">
        <f>'Line downtime'!D13</f>
        <v>0</v>
      </c>
      <c r="AD13" s="6">
        <f>'Line downtime'!E13</f>
        <v>0</v>
      </c>
      <c r="AE13" s="6">
        <f>'Line downtime'!F13</f>
        <v>0</v>
      </c>
      <c r="AF13" s="6">
        <f>'Line downtime'!G13</f>
        <v>0</v>
      </c>
      <c r="AG13" s="6">
        <f>'Line downtime'!H13</f>
        <v>25</v>
      </c>
      <c r="AH13" s="6">
        <f>'Line downtime'!I13</f>
        <v>0</v>
      </c>
      <c r="AI13" s="6">
        <f>'Line downtime'!J13</f>
        <v>0</v>
      </c>
      <c r="AJ13" s="6">
        <f>'Line downtime'!K13</f>
        <v>0</v>
      </c>
      <c r="AK13" s="6">
        <f>'Line downtime'!L13</f>
        <v>0</v>
      </c>
      <c r="AL13" s="6">
        <f>'Line downtime'!M13</f>
        <v>0</v>
      </c>
    </row>
    <row r="14" spans="1:38" x14ac:dyDescent="0.3">
      <c r="A14" s="7">
        <v>45534</v>
      </c>
      <c r="B14" s="8" t="s">
        <v>26</v>
      </c>
      <c r="C14" s="8">
        <v>422123</v>
      </c>
      <c r="D14" s="8" t="s">
        <v>41</v>
      </c>
      <c r="E14" s="9">
        <v>0.50138888888888888</v>
      </c>
      <c r="F14" s="9">
        <v>0.59375</v>
      </c>
      <c r="G14" s="9">
        <f t="shared" si="8"/>
        <v>9.2361111111111116E-2</v>
      </c>
      <c r="H14" s="11">
        <f t="shared" si="0"/>
        <v>133</v>
      </c>
      <c r="I14" s="11">
        <f t="shared" si="12"/>
        <v>1200</v>
      </c>
      <c r="J14" s="16">
        <v>2</v>
      </c>
      <c r="K14" s="11">
        <v>600</v>
      </c>
      <c r="L14" s="11">
        <v>60</v>
      </c>
      <c r="M14" s="20">
        <f t="shared" si="15"/>
        <v>0.8502024291497976</v>
      </c>
      <c r="N14" s="11"/>
      <c r="O14" s="11">
        <f t="shared" si="9"/>
        <v>73</v>
      </c>
      <c r="P14" s="11">
        <f t="shared" si="10"/>
        <v>45.112781954887218</v>
      </c>
      <c r="Q14" s="11"/>
      <c r="R14" s="11"/>
      <c r="S14" s="11"/>
      <c r="T14" s="11"/>
      <c r="U14" s="11"/>
      <c r="V14" s="11">
        <f t="shared" si="11"/>
        <v>54.887218045112782</v>
      </c>
      <c r="Z14" s="11">
        <f t="shared" si="7"/>
        <v>73</v>
      </c>
      <c r="AA14" s="6">
        <f>'Line downtime'!B14</f>
        <v>0</v>
      </c>
      <c r="AB14" s="6">
        <f>'Line downtime'!C14</f>
        <v>0</v>
      </c>
      <c r="AC14" s="6">
        <f>'Line downtime'!D14</f>
        <v>0</v>
      </c>
      <c r="AD14" s="6">
        <f>'Line downtime'!E14</f>
        <v>43</v>
      </c>
      <c r="AE14" s="6">
        <f>'Line downtime'!F14</f>
        <v>0</v>
      </c>
      <c r="AF14" s="6">
        <f>'Line downtime'!G14</f>
        <v>0</v>
      </c>
      <c r="AG14" s="6">
        <f>'Line downtime'!H14</f>
        <v>30</v>
      </c>
      <c r="AH14" s="6">
        <f>'Line downtime'!I14</f>
        <v>0</v>
      </c>
      <c r="AI14" s="6">
        <f>'Line downtime'!J14</f>
        <v>0</v>
      </c>
      <c r="AJ14" s="6">
        <f>'Line downtime'!K14</f>
        <v>0</v>
      </c>
      <c r="AK14" s="6">
        <f>'Line downtime'!L14</f>
        <v>0</v>
      </c>
      <c r="AL14" s="6">
        <f>'Line downtime'!M14</f>
        <v>0</v>
      </c>
    </row>
    <row r="15" spans="1:38" x14ac:dyDescent="0.3">
      <c r="A15" s="7">
        <v>45534</v>
      </c>
      <c r="B15" s="8" t="s">
        <v>26</v>
      </c>
      <c r="C15" s="8">
        <v>422124</v>
      </c>
      <c r="D15" s="8" t="s">
        <v>41</v>
      </c>
      <c r="E15" s="9">
        <v>0.59375</v>
      </c>
      <c r="F15" s="9">
        <v>0.66319444444444442</v>
      </c>
      <c r="G15" s="9">
        <f t="shared" si="8"/>
        <v>6.944444444444442E-2</v>
      </c>
      <c r="H15" s="11">
        <f t="shared" si="0"/>
        <v>99.999999999999972</v>
      </c>
      <c r="I15" s="11">
        <f t="shared" si="12"/>
        <v>1200</v>
      </c>
      <c r="J15" s="16">
        <v>2</v>
      </c>
      <c r="K15" s="11">
        <v>600</v>
      </c>
      <c r="L15" s="11">
        <v>60</v>
      </c>
      <c r="M15" s="20">
        <f t="shared" si="15"/>
        <v>0.8502024291497976</v>
      </c>
      <c r="N15" s="11"/>
      <c r="O15" s="11">
        <f t="shared" si="9"/>
        <v>39.999999999999972</v>
      </c>
      <c r="P15" s="11">
        <f t="shared" si="10"/>
        <v>60.000000000000014</v>
      </c>
      <c r="Q15" s="11"/>
      <c r="R15" s="11"/>
      <c r="S15" s="11"/>
      <c r="T15" s="11"/>
      <c r="U15" s="11"/>
      <c r="V15" s="11">
        <f t="shared" si="11"/>
        <v>39.999999999999986</v>
      </c>
      <c r="Z15" s="11">
        <f t="shared" si="7"/>
        <v>0</v>
      </c>
      <c r="AA15" s="6">
        <f>'Line downtime'!B15</f>
        <v>0</v>
      </c>
      <c r="AB15" s="6">
        <f>'Line downtime'!C15</f>
        <v>0</v>
      </c>
      <c r="AC15" s="6">
        <f>'Line downtime'!D15</f>
        <v>0</v>
      </c>
      <c r="AD15" s="6">
        <f>'Line downtime'!E15</f>
        <v>0</v>
      </c>
      <c r="AE15" s="6">
        <f>'Line downtime'!F15</f>
        <v>20</v>
      </c>
      <c r="AF15" s="6">
        <f>'Line downtime'!G15</f>
        <v>20</v>
      </c>
      <c r="AG15" s="6">
        <f>'Line downtime'!H15</f>
        <v>0</v>
      </c>
      <c r="AH15" s="6">
        <f>'Line downtime'!I15</f>
        <v>0</v>
      </c>
      <c r="AI15" s="6">
        <f>'Line downtime'!J15</f>
        <v>0</v>
      </c>
      <c r="AJ15" s="6">
        <f>'Line downtime'!K15</f>
        <v>0</v>
      </c>
      <c r="AK15" s="6">
        <f>'Line downtime'!L15</f>
        <v>0</v>
      </c>
      <c r="AL15" s="6">
        <f>'Line downtime'!M15</f>
        <v>0</v>
      </c>
    </row>
    <row r="16" spans="1:38" x14ac:dyDescent="0.3">
      <c r="A16" s="7">
        <v>45534</v>
      </c>
      <c r="B16" s="8" t="s">
        <v>26</v>
      </c>
      <c r="C16" s="8">
        <v>422125</v>
      </c>
      <c r="D16" s="8" t="s">
        <v>39</v>
      </c>
      <c r="E16" s="9">
        <v>0.66319444444444442</v>
      </c>
      <c r="F16" s="9">
        <v>0.71875</v>
      </c>
      <c r="G16" s="9">
        <f t="shared" si="8"/>
        <v>5.555555555555558E-2</v>
      </c>
      <c r="H16" s="11">
        <f t="shared" si="0"/>
        <v>80.000000000000028</v>
      </c>
      <c r="I16" s="11">
        <f t="shared" si="12"/>
        <v>600</v>
      </c>
      <c r="J16" s="16">
        <v>1</v>
      </c>
      <c r="K16" s="11">
        <v>600</v>
      </c>
      <c r="L16" s="11">
        <v>60</v>
      </c>
      <c r="M16" s="20">
        <f t="shared" si="15"/>
        <v>0.8502024291497976</v>
      </c>
      <c r="N16" s="11"/>
      <c r="O16" s="11">
        <f t="shared" si="9"/>
        <v>20.000000000000028</v>
      </c>
      <c r="P16" s="11">
        <f t="shared" si="10"/>
        <v>74.999999999999972</v>
      </c>
      <c r="Q16" s="11"/>
      <c r="R16" s="11"/>
      <c r="S16" s="11"/>
      <c r="T16" s="11"/>
      <c r="U16" s="11"/>
      <c r="V16" s="11">
        <f t="shared" si="11"/>
        <v>25.000000000000028</v>
      </c>
      <c r="W16" s="11"/>
      <c r="X16" s="11"/>
      <c r="Y16" s="11">
        <f t="shared" ref="Y16:Y20" si="16">SUM(AA16+AE16+AF16+AH16+AJ16+AK16)</f>
        <v>10</v>
      </c>
      <c r="Z16" s="11">
        <f t="shared" ref="Z16:Z20" si="17">SUM(AC16+AD16+AG16+AI16+AL16+AB16)</f>
        <v>10</v>
      </c>
      <c r="AA16" s="6">
        <f>'Line downtime'!B16</f>
        <v>0</v>
      </c>
      <c r="AB16" s="13">
        <f>'Line downtime'!C16</f>
        <v>0</v>
      </c>
      <c r="AC16" s="13">
        <f>'Line downtime'!D16</f>
        <v>0</v>
      </c>
      <c r="AD16" s="13">
        <f>'Line downtime'!E16</f>
        <v>0</v>
      </c>
      <c r="AE16" s="6">
        <f>'Line downtime'!F16</f>
        <v>0</v>
      </c>
      <c r="AF16" s="6">
        <f>'Line downtime'!G16</f>
        <v>0</v>
      </c>
      <c r="AG16" s="13">
        <f>'Line downtime'!H16</f>
        <v>0</v>
      </c>
      <c r="AH16" s="6">
        <f>'Line downtime'!I16</f>
        <v>0</v>
      </c>
      <c r="AI16" s="13">
        <f>'Line downtime'!J16</f>
        <v>0</v>
      </c>
      <c r="AJ16" s="6">
        <f>'Line downtime'!K16</f>
        <v>0</v>
      </c>
      <c r="AK16" s="6">
        <f>'Line downtime'!L16</f>
        <v>10</v>
      </c>
      <c r="AL16" s="13">
        <f>'Line downtime'!M16</f>
        <v>10</v>
      </c>
    </row>
    <row r="17" spans="1:38" x14ac:dyDescent="0.3">
      <c r="A17" s="7">
        <v>45534</v>
      </c>
      <c r="B17" s="8" t="s">
        <v>26</v>
      </c>
      <c r="C17" s="8">
        <v>422126</v>
      </c>
      <c r="D17" s="8" t="s">
        <v>39</v>
      </c>
      <c r="E17" s="9">
        <v>0.71875</v>
      </c>
      <c r="F17" s="9">
        <v>0.79097222222222219</v>
      </c>
      <c r="G17" s="9">
        <f t="shared" si="8"/>
        <v>7.2222222222222188E-2</v>
      </c>
      <c r="H17" s="11">
        <f t="shared" si="0"/>
        <v>103.99999999999994</v>
      </c>
      <c r="I17" s="11">
        <f t="shared" si="12"/>
        <v>1200</v>
      </c>
      <c r="J17" s="16">
        <v>2</v>
      </c>
      <c r="K17" s="11">
        <v>600</v>
      </c>
      <c r="L17" s="11">
        <v>60</v>
      </c>
      <c r="M17" s="20">
        <f t="shared" si="15"/>
        <v>0.8502024291497976</v>
      </c>
      <c r="N17" s="11"/>
      <c r="O17" s="11">
        <f t="shared" si="9"/>
        <v>43.999999999999943</v>
      </c>
      <c r="P17" s="11">
        <f t="shared" si="10"/>
        <v>57.692307692307722</v>
      </c>
      <c r="Q17" s="11"/>
      <c r="R17" s="11"/>
      <c r="S17" s="11"/>
      <c r="T17" s="11"/>
      <c r="U17" s="11"/>
      <c r="V17" s="11">
        <f t="shared" si="11"/>
        <v>42.307692307692278</v>
      </c>
      <c r="W17" s="11"/>
      <c r="X17" s="11"/>
      <c r="Y17" s="11">
        <f t="shared" si="16"/>
        <v>44</v>
      </c>
      <c r="Z17" s="11">
        <f t="shared" si="17"/>
        <v>0</v>
      </c>
      <c r="AA17" s="6">
        <f>'Line downtime'!B17</f>
        <v>0</v>
      </c>
      <c r="AB17" s="13">
        <f>'Line downtime'!C17</f>
        <v>0</v>
      </c>
      <c r="AC17" s="13">
        <f>'Line downtime'!D17</f>
        <v>0</v>
      </c>
      <c r="AD17" s="13">
        <f>'Line downtime'!E17</f>
        <v>0</v>
      </c>
      <c r="AE17" s="6">
        <f>'Line downtime'!F17</f>
        <v>0</v>
      </c>
      <c r="AF17" s="6">
        <f>'Line downtime'!G17</f>
        <v>0</v>
      </c>
      <c r="AG17" s="13">
        <f>'Line downtime'!H17</f>
        <v>0</v>
      </c>
      <c r="AH17" s="6">
        <f>'Line downtime'!I17</f>
        <v>44</v>
      </c>
      <c r="AI17" s="13">
        <f>'Line downtime'!J17</f>
        <v>0</v>
      </c>
      <c r="AJ17" s="6">
        <f>'Line downtime'!K17</f>
        <v>0</v>
      </c>
      <c r="AK17" s="6">
        <f>'Line downtime'!L17</f>
        <v>0</v>
      </c>
      <c r="AL17" s="13">
        <f>'Line downtime'!M17</f>
        <v>0</v>
      </c>
    </row>
    <row r="18" spans="1:38" x14ac:dyDescent="0.3">
      <c r="A18" s="7">
        <v>45534</v>
      </c>
      <c r="B18" s="8" t="s">
        <v>26</v>
      </c>
      <c r="C18" s="8">
        <v>422127</v>
      </c>
      <c r="D18" s="8" t="s">
        <v>39</v>
      </c>
      <c r="E18" s="9">
        <v>0.79097222222222219</v>
      </c>
      <c r="F18" s="9">
        <v>0.84861111111111109</v>
      </c>
      <c r="G18" s="9">
        <f t="shared" si="8"/>
        <v>5.7638888888888906E-2</v>
      </c>
      <c r="H18" s="11">
        <f t="shared" si="0"/>
        <v>83.000000000000028</v>
      </c>
      <c r="I18" s="11">
        <f t="shared" si="12"/>
        <v>600</v>
      </c>
      <c r="J18" s="16">
        <v>1</v>
      </c>
      <c r="K18" s="11">
        <v>600</v>
      </c>
      <c r="L18" s="11">
        <v>60</v>
      </c>
      <c r="M18" s="20">
        <f t="shared" si="15"/>
        <v>0.8502024291497976</v>
      </c>
      <c r="N18" s="11"/>
      <c r="O18" s="11">
        <f t="shared" si="9"/>
        <v>23.000000000000028</v>
      </c>
      <c r="P18" s="11">
        <f t="shared" si="10"/>
        <v>72.289156626505999</v>
      </c>
      <c r="Q18" s="11"/>
      <c r="R18" s="11"/>
      <c r="S18" s="11"/>
      <c r="T18" s="11"/>
      <c r="U18" s="11"/>
      <c r="V18" s="11">
        <f t="shared" si="11"/>
        <v>27.710843373494001</v>
      </c>
      <c r="W18" s="11"/>
      <c r="X18" s="11"/>
      <c r="Y18" s="11">
        <f t="shared" si="16"/>
        <v>23</v>
      </c>
      <c r="Z18" s="11">
        <f t="shared" si="17"/>
        <v>0</v>
      </c>
      <c r="AA18" s="6">
        <f>'Line downtime'!B18</f>
        <v>0</v>
      </c>
      <c r="AB18" s="13">
        <f>'Line downtime'!C18</f>
        <v>0</v>
      </c>
      <c r="AC18" s="13">
        <f>'Line downtime'!D18</f>
        <v>0</v>
      </c>
      <c r="AD18" s="13">
        <f>'Line downtime'!E18</f>
        <v>0</v>
      </c>
      <c r="AE18" s="6">
        <f>'Line downtime'!F18</f>
        <v>0</v>
      </c>
      <c r="AF18" s="6">
        <f>'Line downtime'!G18</f>
        <v>23</v>
      </c>
      <c r="AG18" s="13">
        <f>'Line downtime'!H18</f>
        <v>0</v>
      </c>
      <c r="AH18" s="6">
        <f>'Line downtime'!I18</f>
        <v>0</v>
      </c>
      <c r="AI18" s="13">
        <f>'Line downtime'!J18</f>
        <v>0</v>
      </c>
      <c r="AJ18" s="6">
        <f>'Line downtime'!K18</f>
        <v>0</v>
      </c>
      <c r="AK18" s="6">
        <f>'Line downtime'!L18</f>
        <v>0</v>
      </c>
      <c r="AL18" s="13">
        <f>'Line downtime'!M18</f>
        <v>0</v>
      </c>
    </row>
    <row r="19" spans="1:38" x14ac:dyDescent="0.3">
      <c r="A19" s="7">
        <v>45534</v>
      </c>
      <c r="B19" s="8" t="s">
        <v>26</v>
      </c>
      <c r="C19" s="8">
        <v>422128</v>
      </c>
      <c r="D19" s="8" t="s">
        <v>39</v>
      </c>
      <c r="E19" s="9">
        <v>0.84861111111111109</v>
      </c>
      <c r="F19" s="9">
        <v>0.92638888888888893</v>
      </c>
      <c r="G19" s="9">
        <f t="shared" si="8"/>
        <v>7.7777777777777835E-2</v>
      </c>
      <c r="H19" s="11">
        <f t="shared" si="0"/>
        <v>112.00000000000009</v>
      </c>
      <c r="I19" s="11">
        <f t="shared" si="12"/>
        <v>1200</v>
      </c>
      <c r="J19" s="16">
        <v>2</v>
      </c>
      <c r="K19" s="11">
        <v>600</v>
      </c>
      <c r="L19" s="11">
        <v>60</v>
      </c>
      <c r="M19" s="20">
        <f t="shared" si="15"/>
        <v>0.8502024291497976</v>
      </c>
      <c r="N19" s="11"/>
      <c r="O19" s="11">
        <f t="shared" si="9"/>
        <v>52.000000000000085</v>
      </c>
      <c r="P19" s="11">
        <f t="shared" si="10"/>
        <v>53.571428571428534</v>
      </c>
      <c r="Q19" s="11"/>
      <c r="R19" s="11"/>
      <c r="S19" s="11"/>
      <c r="T19" s="11"/>
      <c r="U19" s="11"/>
      <c r="V19" s="11">
        <f t="shared" si="11"/>
        <v>46.428571428571466</v>
      </c>
      <c r="W19" s="11"/>
      <c r="X19" s="11"/>
      <c r="Y19" s="11">
        <f t="shared" si="16"/>
        <v>22</v>
      </c>
      <c r="Z19" s="11">
        <f t="shared" si="17"/>
        <v>30</v>
      </c>
      <c r="AA19" s="6">
        <f>'Line downtime'!B19</f>
        <v>0</v>
      </c>
      <c r="AB19" s="13">
        <f>'Line downtime'!C19</f>
        <v>0</v>
      </c>
      <c r="AC19" s="13">
        <f>'Line downtime'!D19</f>
        <v>0</v>
      </c>
      <c r="AD19" s="13">
        <f>'Line downtime'!E19</f>
        <v>0</v>
      </c>
      <c r="AE19" s="6">
        <f>'Line downtime'!F19</f>
        <v>22</v>
      </c>
      <c r="AF19" s="6">
        <f>'Line downtime'!G19</f>
        <v>0</v>
      </c>
      <c r="AG19" s="13">
        <f>'Line downtime'!H19</f>
        <v>30</v>
      </c>
      <c r="AH19" s="6">
        <f>'Line downtime'!I19</f>
        <v>0</v>
      </c>
      <c r="AI19" s="13">
        <f>'Line downtime'!J19</f>
        <v>0</v>
      </c>
      <c r="AJ19" s="6">
        <f>'Line downtime'!K19</f>
        <v>0</v>
      </c>
      <c r="AK19" s="6">
        <f>'Line downtime'!L19</f>
        <v>0</v>
      </c>
      <c r="AL19" s="13">
        <f>'Line downtime'!M19</f>
        <v>0</v>
      </c>
    </row>
    <row r="20" spans="1:38" x14ac:dyDescent="0.3">
      <c r="A20" s="7">
        <v>45534</v>
      </c>
      <c r="B20" s="8" t="s">
        <v>26</v>
      </c>
      <c r="C20" s="8">
        <v>422129</v>
      </c>
      <c r="D20" s="8" t="s">
        <v>39</v>
      </c>
      <c r="E20" s="9">
        <v>0.92638888888888893</v>
      </c>
      <c r="F20" s="9">
        <v>0.97847222222222219</v>
      </c>
      <c r="G20" s="9">
        <f t="shared" si="8"/>
        <v>5.2083333333333259E-2</v>
      </c>
      <c r="H20" s="11">
        <f t="shared" si="0"/>
        <v>74.999999999999886</v>
      </c>
      <c r="I20" s="11">
        <f t="shared" si="12"/>
        <v>600</v>
      </c>
      <c r="J20" s="16">
        <v>1</v>
      </c>
      <c r="K20" s="11">
        <v>600</v>
      </c>
      <c r="L20" s="11">
        <v>60</v>
      </c>
      <c r="M20" s="20">
        <f t="shared" si="15"/>
        <v>0.8502024291497976</v>
      </c>
      <c r="N20" s="11"/>
      <c r="O20" s="11">
        <f t="shared" si="9"/>
        <v>14.999999999999886</v>
      </c>
      <c r="P20" s="11">
        <f t="shared" si="10"/>
        <v>80.000000000000128</v>
      </c>
      <c r="Q20" s="11"/>
      <c r="R20" s="11"/>
      <c r="S20" s="11"/>
      <c r="T20" s="11"/>
      <c r="U20" s="11"/>
      <c r="V20" s="11">
        <f t="shared" si="11"/>
        <v>19.999999999999872</v>
      </c>
      <c r="W20" s="11"/>
      <c r="X20" s="11"/>
      <c r="Y20" s="11">
        <f t="shared" si="16"/>
        <v>0</v>
      </c>
      <c r="Z20" s="11">
        <f t="shared" si="17"/>
        <v>15</v>
      </c>
      <c r="AA20" s="6">
        <f>'Line downtime'!B20</f>
        <v>0</v>
      </c>
      <c r="AB20" s="13">
        <f>'Line downtime'!C20</f>
        <v>0</v>
      </c>
      <c r="AC20" s="13">
        <f>'Line downtime'!D20</f>
        <v>0</v>
      </c>
      <c r="AD20" s="13">
        <f>'Line downtime'!E20</f>
        <v>0</v>
      </c>
      <c r="AE20" s="6">
        <f>'Line downtime'!F20</f>
        <v>0</v>
      </c>
      <c r="AF20" s="6">
        <f>'Line downtime'!G20</f>
        <v>0</v>
      </c>
      <c r="AG20" s="13">
        <f>'Line downtime'!H20</f>
        <v>0</v>
      </c>
      <c r="AH20" s="6">
        <f>'Line downtime'!I20</f>
        <v>0</v>
      </c>
      <c r="AI20" s="13">
        <f>'Line downtime'!J20</f>
        <v>0</v>
      </c>
      <c r="AJ20" s="6">
        <f>'Line downtime'!K20</f>
        <v>0</v>
      </c>
      <c r="AK20" s="6">
        <f>'Line downtime'!L20</f>
        <v>0</v>
      </c>
      <c r="AL20" s="13">
        <f>'Line downtime'!M20</f>
        <v>15</v>
      </c>
    </row>
    <row r="21" spans="1:38" x14ac:dyDescent="0.3">
      <c r="A21" s="18">
        <v>45535</v>
      </c>
      <c r="B21" s="8" t="s">
        <v>26</v>
      </c>
      <c r="C21" s="8">
        <v>422130</v>
      </c>
      <c r="D21" s="17" t="s">
        <v>40</v>
      </c>
      <c r="E21" s="9">
        <v>0.32291666666666669</v>
      </c>
      <c r="F21" s="9">
        <v>0.37847222222222221</v>
      </c>
      <c r="G21" s="9">
        <f t="shared" si="8"/>
        <v>5.5555555555555525E-2</v>
      </c>
      <c r="H21" s="11">
        <f t="shared" si="0"/>
        <v>79.999999999999957</v>
      </c>
      <c r="I21" s="11">
        <f t="shared" si="12"/>
        <v>600</v>
      </c>
      <c r="J21" s="16">
        <v>1</v>
      </c>
      <c r="K21" s="11">
        <v>600</v>
      </c>
      <c r="L21" s="11">
        <v>60</v>
      </c>
      <c r="M21" s="20">
        <f t="shared" si="15"/>
        <v>0.8502024291497976</v>
      </c>
      <c r="N21" s="11"/>
      <c r="O21" s="19">
        <f t="shared" si="9"/>
        <v>19.999999999999957</v>
      </c>
      <c r="P21" s="11">
        <f t="shared" si="10"/>
        <v>75.000000000000043</v>
      </c>
      <c r="Q21" s="11"/>
      <c r="R21" s="11"/>
      <c r="S21" s="11"/>
      <c r="T21" s="11"/>
      <c r="U21" s="11"/>
      <c r="V21" s="11">
        <f t="shared" si="11"/>
        <v>24.999999999999957</v>
      </c>
      <c r="Z21" s="11">
        <f t="shared" si="7"/>
        <v>0</v>
      </c>
      <c r="AA21" s="6">
        <f>'Line downtime'!B21</f>
        <v>0</v>
      </c>
      <c r="AB21" s="6">
        <f>'Line downtime'!C21</f>
        <v>20</v>
      </c>
      <c r="AC21" s="6">
        <f>'Line downtime'!D21</f>
        <v>0</v>
      </c>
      <c r="AD21" s="6">
        <f>'Line downtime'!E21</f>
        <v>0</v>
      </c>
      <c r="AE21" s="6">
        <f>'Line downtime'!F21</f>
        <v>0</v>
      </c>
      <c r="AF21" s="6">
        <f>'Line downtime'!G21</f>
        <v>0</v>
      </c>
      <c r="AG21" s="6">
        <f>'Line downtime'!H21</f>
        <v>0</v>
      </c>
      <c r="AH21" s="6">
        <f>'Line downtime'!I21</f>
        <v>0</v>
      </c>
      <c r="AI21" s="6">
        <f>'Line downtime'!J21</f>
        <v>0</v>
      </c>
      <c r="AJ21" s="6">
        <f>'Line downtime'!K21</f>
        <v>0</v>
      </c>
      <c r="AK21" s="6">
        <f>'Line downtime'!L21</f>
        <v>0</v>
      </c>
      <c r="AL21" s="6">
        <f>'Line downtime'!M21</f>
        <v>0</v>
      </c>
    </row>
    <row r="22" spans="1:38" x14ac:dyDescent="0.3">
      <c r="A22" s="18">
        <v>45535</v>
      </c>
      <c r="B22" s="8" t="s">
        <v>26</v>
      </c>
      <c r="C22" s="8">
        <v>422131</v>
      </c>
      <c r="D22" s="17" t="s">
        <v>40</v>
      </c>
      <c r="E22" s="9">
        <v>0.37847222222222221</v>
      </c>
      <c r="F22" s="9">
        <v>0.44097222222222221</v>
      </c>
      <c r="G22" s="9">
        <f t="shared" si="8"/>
        <v>6.25E-2</v>
      </c>
      <c r="H22" s="11">
        <f t="shared" si="0"/>
        <v>90</v>
      </c>
      <c r="I22" s="11">
        <f t="shared" si="12"/>
        <v>1200</v>
      </c>
      <c r="J22" s="16">
        <v>2</v>
      </c>
      <c r="K22" s="11">
        <v>600</v>
      </c>
      <c r="L22" s="11">
        <v>60</v>
      </c>
      <c r="M22" s="20">
        <f t="shared" si="15"/>
        <v>0.8502024291497976</v>
      </c>
      <c r="N22" s="11"/>
      <c r="O22" s="19">
        <f t="shared" si="9"/>
        <v>30</v>
      </c>
      <c r="P22" s="11">
        <f t="shared" si="10"/>
        <v>66.666666666666671</v>
      </c>
      <c r="Q22" s="11"/>
      <c r="R22" s="11"/>
      <c r="S22" s="11"/>
      <c r="T22" s="11"/>
      <c r="U22" s="11"/>
      <c r="V22" s="11">
        <f t="shared" si="11"/>
        <v>33.333333333333329</v>
      </c>
      <c r="Z22" s="11">
        <f t="shared" si="7"/>
        <v>20</v>
      </c>
      <c r="AA22" s="6">
        <f>'Line downtime'!B22</f>
        <v>0</v>
      </c>
      <c r="AB22" s="6">
        <f>'Line downtime'!C22</f>
        <v>0</v>
      </c>
      <c r="AC22" s="6">
        <f>'Line downtime'!D22</f>
        <v>0</v>
      </c>
      <c r="AD22" s="6">
        <f>'Line downtime'!E22</f>
        <v>20</v>
      </c>
      <c r="AE22" s="6">
        <f>'Line downtime'!F22</f>
        <v>0</v>
      </c>
      <c r="AF22" s="6">
        <f>'Line downtime'!G22</f>
        <v>0</v>
      </c>
      <c r="AG22" s="6">
        <f>'Line downtime'!H22</f>
        <v>0</v>
      </c>
      <c r="AH22" s="6">
        <f>'Line downtime'!I22</f>
        <v>0</v>
      </c>
      <c r="AI22" s="6">
        <f>'Line downtime'!J22</f>
        <v>0</v>
      </c>
      <c r="AJ22" s="6">
        <f>'Line downtime'!K22</f>
        <v>10</v>
      </c>
      <c r="AK22" s="6">
        <f>'Line downtime'!L22</f>
        <v>0</v>
      </c>
      <c r="AL22" s="6">
        <f>'Line downtime'!M22</f>
        <v>0</v>
      </c>
    </row>
    <row r="23" spans="1:38" x14ac:dyDescent="0.3">
      <c r="A23" s="18">
        <v>45535</v>
      </c>
      <c r="B23" s="8" t="s">
        <v>26</v>
      </c>
      <c r="C23" s="8">
        <v>422132</v>
      </c>
      <c r="D23" s="17" t="s">
        <v>40</v>
      </c>
      <c r="E23" s="9">
        <v>0.44097222222222221</v>
      </c>
      <c r="F23" s="9">
        <v>0.4826388888888889</v>
      </c>
      <c r="G23" s="9">
        <f t="shared" si="8"/>
        <v>4.1666666666666685E-2</v>
      </c>
      <c r="H23" s="11">
        <f t="shared" si="0"/>
        <v>60.000000000000028</v>
      </c>
      <c r="I23" s="11">
        <f t="shared" si="12"/>
        <v>600</v>
      </c>
      <c r="J23" s="16">
        <v>1</v>
      </c>
      <c r="K23" s="11">
        <v>600</v>
      </c>
      <c r="L23" s="11">
        <v>60</v>
      </c>
      <c r="M23" s="20">
        <f t="shared" si="15"/>
        <v>0.8502024291497976</v>
      </c>
      <c r="N23" s="11"/>
      <c r="O23" s="19">
        <f t="shared" si="9"/>
        <v>0</v>
      </c>
      <c r="P23" s="11">
        <f t="shared" si="10"/>
        <v>99.999999999999957</v>
      </c>
      <c r="Q23" s="11"/>
      <c r="R23" s="11"/>
      <c r="S23" s="11"/>
      <c r="T23" s="11"/>
      <c r="U23" s="11"/>
      <c r="V23" s="11">
        <f t="shared" si="11"/>
        <v>0</v>
      </c>
      <c r="Z23" s="11">
        <f t="shared" si="7"/>
        <v>0</v>
      </c>
      <c r="AA23" s="6">
        <f>'Line downtime'!B23</f>
        <v>0</v>
      </c>
      <c r="AB23" s="6">
        <f>'Line downtime'!C23</f>
        <v>0</v>
      </c>
      <c r="AC23" s="6">
        <f>'Line downtime'!D23</f>
        <v>0</v>
      </c>
      <c r="AD23" s="6">
        <f>'Line downtime'!E23</f>
        <v>0</v>
      </c>
      <c r="AE23" s="6">
        <f>'Line downtime'!F23</f>
        <v>0</v>
      </c>
      <c r="AF23" s="6">
        <f>'Line downtime'!G23</f>
        <v>0</v>
      </c>
      <c r="AG23" s="6">
        <f>'Line downtime'!H23</f>
        <v>0</v>
      </c>
      <c r="AH23" s="6">
        <f>'Line downtime'!I23</f>
        <v>0</v>
      </c>
      <c r="AI23" s="6">
        <f>'Line downtime'!J23</f>
        <v>0</v>
      </c>
      <c r="AJ23" s="6">
        <f>'Line downtime'!K23</f>
        <v>0</v>
      </c>
      <c r="AK23" s="6">
        <f>'Line downtime'!L23</f>
        <v>0</v>
      </c>
      <c r="AL23" s="6">
        <f>'Line downtime'!M23</f>
        <v>0</v>
      </c>
    </row>
    <row r="24" spans="1:38" x14ac:dyDescent="0.3">
      <c r="A24" s="18">
        <v>45535</v>
      </c>
      <c r="B24" s="8" t="s">
        <v>27</v>
      </c>
      <c r="C24" s="8">
        <v>422133</v>
      </c>
      <c r="D24" s="17" t="s">
        <v>40</v>
      </c>
      <c r="E24" s="9">
        <v>0.4826388888888889</v>
      </c>
      <c r="F24" s="9">
        <v>0.53819444444444442</v>
      </c>
      <c r="G24" s="9">
        <f t="shared" si="8"/>
        <v>5.5555555555555525E-2</v>
      </c>
      <c r="H24" s="11">
        <f t="shared" si="0"/>
        <v>79.999999999999957</v>
      </c>
      <c r="I24" s="11">
        <f t="shared" si="12"/>
        <v>600</v>
      </c>
      <c r="J24" s="16">
        <v>1</v>
      </c>
      <c r="K24" s="11">
        <v>600</v>
      </c>
      <c r="L24" s="11">
        <v>60</v>
      </c>
      <c r="M24" s="20">
        <f t="shared" si="15"/>
        <v>0.8502024291497976</v>
      </c>
      <c r="N24" s="11"/>
      <c r="O24" s="19">
        <f t="shared" si="9"/>
        <v>19.999999999999957</v>
      </c>
      <c r="P24" s="11">
        <f t="shared" si="10"/>
        <v>75.000000000000043</v>
      </c>
      <c r="Q24" s="11"/>
      <c r="R24" s="11"/>
      <c r="S24" s="11"/>
      <c r="T24" s="11"/>
      <c r="U24" s="11"/>
      <c r="V24" s="11">
        <f t="shared" si="11"/>
        <v>24.999999999999957</v>
      </c>
      <c r="Z24" s="11">
        <f t="shared" si="7"/>
        <v>20</v>
      </c>
      <c r="AA24" s="6">
        <f>'Line downtime'!B24</f>
        <v>0</v>
      </c>
      <c r="AB24" s="6">
        <f>'Line downtime'!C24</f>
        <v>0</v>
      </c>
      <c r="AC24" s="6">
        <f>'Line downtime'!D24</f>
        <v>0</v>
      </c>
      <c r="AD24" s="6">
        <f>'Line downtime'!E24</f>
        <v>0</v>
      </c>
      <c r="AE24" s="6">
        <f>'Line downtime'!F24</f>
        <v>0</v>
      </c>
      <c r="AF24" s="6">
        <f>'Line downtime'!G24</f>
        <v>0</v>
      </c>
      <c r="AG24" s="6">
        <f>'Line downtime'!H24</f>
        <v>20</v>
      </c>
      <c r="AH24" s="6">
        <f>'Line downtime'!I24</f>
        <v>0</v>
      </c>
      <c r="AI24" s="6">
        <f>'Line downtime'!J24</f>
        <v>0</v>
      </c>
      <c r="AJ24" s="6">
        <f>'Line downtime'!K24</f>
        <v>0</v>
      </c>
      <c r="AK24" s="6">
        <f>'Line downtime'!L24</f>
        <v>0</v>
      </c>
      <c r="AL24" s="6">
        <f>'Line downtime'!M24</f>
        <v>0</v>
      </c>
    </row>
    <row r="25" spans="1:38" x14ac:dyDescent="0.3">
      <c r="A25" s="7">
        <v>45535</v>
      </c>
      <c r="B25" s="8" t="s">
        <v>27</v>
      </c>
      <c r="C25" s="8">
        <v>422134</v>
      </c>
      <c r="D25" s="8" t="s">
        <v>42</v>
      </c>
      <c r="E25" s="9">
        <v>0.53819444444444442</v>
      </c>
      <c r="F25" s="9">
        <v>0.61458333333333337</v>
      </c>
      <c r="G25" s="9">
        <f t="shared" si="8"/>
        <v>7.6388888888888951E-2</v>
      </c>
      <c r="H25" s="11">
        <f t="shared" si="0"/>
        <v>110.00000000000009</v>
      </c>
      <c r="I25" s="11">
        <f t="shared" si="12"/>
        <v>1200</v>
      </c>
      <c r="J25" s="16">
        <v>2</v>
      </c>
      <c r="K25" s="11">
        <v>600</v>
      </c>
      <c r="L25" s="11">
        <v>60</v>
      </c>
      <c r="M25" s="20">
        <f t="shared" si="15"/>
        <v>0.8502024291497976</v>
      </c>
      <c r="N25" s="11"/>
      <c r="O25" s="11">
        <f t="shared" si="9"/>
        <v>50.000000000000085</v>
      </c>
      <c r="P25" s="11">
        <f t="shared" si="10"/>
        <v>54.545454545454504</v>
      </c>
      <c r="Q25" s="11"/>
      <c r="R25" s="11"/>
      <c r="S25" s="11"/>
      <c r="T25" s="11"/>
      <c r="U25" s="11"/>
      <c r="V25" s="11">
        <f t="shared" si="11"/>
        <v>45.454545454545496</v>
      </c>
      <c r="Z25" s="11">
        <f t="shared" si="7"/>
        <v>30</v>
      </c>
      <c r="AA25" s="6">
        <f>'Line downtime'!B25</f>
        <v>0</v>
      </c>
      <c r="AB25" s="6">
        <f>'Line downtime'!C25</f>
        <v>0</v>
      </c>
      <c r="AC25" s="6">
        <f>'Line downtime'!D25</f>
        <v>0</v>
      </c>
      <c r="AD25" s="6">
        <f>'Line downtime'!E25</f>
        <v>0</v>
      </c>
      <c r="AE25" s="6">
        <f>'Line downtime'!F25</f>
        <v>0</v>
      </c>
      <c r="AF25" s="6">
        <f>'Line downtime'!G25</f>
        <v>0</v>
      </c>
      <c r="AG25" s="6">
        <f>'Line downtime'!H25</f>
        <v>30</v>
      </c>
      <c r="AH25" s="6">
        <f>'Line downtime'!I25</f>
        <v>20</v>
      </c>
      <c r="AI25" s="6">
        <f>'Line downtime'!J25</f>
        <v>0</v>
      </c>
      <c r="AJ25" s="6">
        <f>'Line downtime'!K25</f>
        <v>0</v>
      </c>
      <c r="AK25" s="6">
        <f>'Line downtime'!L25</f>
        <v>0</v>
      </c>
      <c r="AL25" s="6">
        <f>'Line downtime'!M25</f>
        <v>0</v>
      </c>
    </row>
    <row r="26" spans="1:38" x14ac:dyDescent="0.3">
      <c r="A26" s="7">
        <v>45535</v>
      </c>
      <c r="B26" s="8" t="s">
        <v>27</v>
      </c>
      <c r="C26" s="8">
        <v>422135</v>
      </c>
      <c r="D26" s="8" t="s">
        <v>42</v>
      </c>
      <c r="E26" s="9">
        <v>0.61458333333333337</v>
      </c>
      <c r="F26" s="9">
        <v>0.6875</v>
      </c>
      <c r="G26" s="9">
        <f t="shared" si="8"/>
        <v>7.291666666666663E-2</v>
      </c>
      <c r="H26" s="11">
        <f t="shared" si="0"/>
        <v>104.99999999999994</v>
      </c>
      <c r="I26" s="11">
        <f t="shared" si="12"/>
        <v>1200</v>
      </c>
      <c r="J26" s="16">
        <v>2</v>
      </c>
      <c r="K26" s="11">
        <v>600</v>
      </c>
      <c r="L26" s="11">
        <v>60</v>
      </c>
      <c r="M26" s="20">
        <f t="shared" si="15"/>
        <v>0.8502024291497976</v>
      </c>
      <c r="N26" s="11"/>
      <c r="O26" s="11">
        <f t="shared" si="9"/>
        <v>44.999999999999943</v>
      </c>
      <c r="P26" s="11">
        <f t="shared" si="10"/>
        <v>57.142857142857174</v>
      </c>
      <c r="Q26" s="11"/>
      <c r="R26" s="11"/>
      <c r="S26" s="11"/>
      <c r="T26" s="11"/>
      <c r="U26" s="11"/>
      <c r="V26" s="11">
        <f t="shared" si="11"/>
        <v>42.857142857142826</v>
      </c>
      <c r="Z26" s="11">
        <f t="shared" si="7"/>
        <v>45</v>
      </c>
      <c r="AA26" s="6">
        <f>'Line downtime'!B26</f>
        <v>0</v>
      </c>
      <c r="AB26" s="6">
        <f>'Line downtime'!C26</f>
        <v>0</v>
      </c>
      <c r="AC26" s="6">
        <f>'Line downtime'!D26</f>
        <v>0</v>
      </c>
      <c r="AD26" s="6">
        <f>'Line downtime'!E26</f>
        <v>30</v>
      </c>
      <c r="AE26" s="6">
        <f>'Line downtime'!F26</f>
        <v>0</v>
      </c>
      <c r="AF26" s="6">
        <f>'Line downtime'!G26</f>
        <v>0</v>
      </c>
      <c r="AG26" s="6">
        <f>'Line downtime'!H26</f>
        <v>0</v>
      </c>
      <c r="AH26" s="6">
        <f>'Line downtime'!I26</f>
        <v>0</v>
      </c>
      <c r="AI26" s="6">
        <f>'Line downtime'!J26</f>
        <v>0</v>
      </c>
      <c r="AJ26" s="6">
        <f>'Line downtime'!K26</f>
        <v>0</v>
      </c>
      <c r="AK26" s="6">
        <f>'Line downtime'!L26</f>
        <v>0</v>
      </c>
      <c r="AL26" s="6">
        <f>'Line downtime'!M26</f>
        <v>15</v>
      </c>
    </row>
    <row r="27" spans="1:38" x14ac:dyDescent="0.3">
      <c r="A27" s="7">
        <v>45535</v>
      </c>
      <c r="B27" s="8" t="s">
        <v>27</v>
      </c>
      <c r="C27" s="8">
        <v>422136</v>
      </c>
      <c r="D27" s="8" t="s">
        <v>42</v>
      </c>
      <c r="E27" s="9">
        <v>0.6875</v>
      </c>
      <c r="F27" s="9">
        <v>0.72916666666666663</v>
      </c>
      <c r="G27" s="9">
        <f t="shared" si="8"/>
        <v>4.166666666666663E-2</v>
      </c>
      <c r="H27" s="11">
        <f t="shared" si="0"/>
        <v>59.999999999999943</v>
      </c>
      <c r="I27" s="11">
        <f t="shared" si="12"/>
        <v>600</v>
      </c>
      <c r="J27" s="16">
        <v>1</v>
      </c>
      <c r="K27" s="11">
        <v>600</v>
      </c>
      <c r="L27" s="11">
        <v>60</v>
      </c>
      <c r="M27" s="20">
        <f t="shared" si="15"/>
        <v>0.8502024291497976</v>
      </c>
      <c r="N27" s="11"/>
      <c r="O27" s="11">
        <f t="shared" si="9"/>
        <v>-5.6843418860808015E-14</v>
      </c>
      <c r="P27" s="11">
        <f t="shared" si="10"/>
        <v>100.0000000000001</v>
      </c>
      <c r="Q27" s="11"/>
      <c r="R27" s="11"/>
      <c r="S27" s="11"/>
      <c r="T27" s="11"/>
      <c r="U27" s="11"/>
      <c r="V27" s="11">
        <f t="shared" si="11"/>
        <v>0</v>
      </c>
      <c r="Z27" s="11">
        <f t="shared" si="7"/>
        <v>0</v>
      </c>
      <c r="AA27" s="6">
        <f>'Line downtime'!B27</f>
        <v>0</v>
      </c>
      <c r="AB27" s="6">
        <f>'Line downtime'!C27</f>
        <v>0</v>
      </c>
      <c r="AC27" s="6">
        <f>'Line downtime'!D27</f>
        <v>0</v>
      </c>
      <c r="AD27" s="6">
        <f>'Line downtime'!E27</f>
        <v>0</v>
      </c>
      <c r="AE27" s="6">
        <f>'Line downtime'!F27</f>
        <v>0</v>
      </c>
      <c r="AF27" s="6">
        <f>'Line downtime'!G27</f>
        <v>0</v>
      </c>
      <c r="AG27" s="6">
        <f>'Line downtime'!H27</f>
        <v>0</v>
      </c>
      <c r="AH27" s="6">
        <f>'Line downtime'!I27</f>
        <v>0</v>
      </c>
      <c r="AI27" s="6">
        <f>'Line downtime'!J27</f>
        <v>0</v>
      </c>
      <c r="AJ27" s="6">
        <f>'Line downtime'!K27</f>
        <v>0</v>
      </c>
      <c r="AK27" s="6">
        <f>'Line downtime'!L27</f>
        <v>0</v>
      </c>
      <c r="AL27" s="6">
        <f>'Line downtime'!M27</f>
        <v>0</v>
      </c>
    </row>
    <row r="28" spans="1:38" x14ac:dyDescent="0.3">
      <c r="A28" s="18">
        <v>45537</v>
      </c>
      <c r="B28" s="8" t="s">
        <v>28</v>
      </c>
      <c r="C28" s="8">
        <v>422137</v>
      </c>
      <c r="D28" s="17" t="s">
        <v>40</v>
      </c>
      <c r="E28" s="9">
        <v>4.1666666666666664E-2</v>
      </c>
      <c r="F28" s="9">
        <v>0.11458333333333333</v>
      </c>
      <c r="G28" s="9">
        <f t="shared" si="8"/>
        <v>7.2916666666666657E-2</v>
      </c>
      <c r="H28" s="11">
        <f t="shared" si="0"/>
        <v>104.99999999999999</v>
      </c>
      <c r="I28" s="11">
        <f t="shared" si="12"/>
        <v>600</v>
      </c>
      <c r="J28" s="11">
        <v>1</v>
      </c>
      <c r="K28" s="11">
        <v>600</v>
      </c>
      <c r="L28" s="11">
        <v>60</v>
      </c>
      <c r="M28" s="20">
        <f t="shared" si="15"/>
        <v>0.8502024291497976</v>
      </c>
      <c r="N28" s="11"/>
      <c r="O28" s="19">
        <f t="shared" si="9"/>
        <v>44.999999999999986</v>
      </c>
      <c r="P28" s="11">
        <f t="shared" si="10"/>
        <v>57.142857142857153</v>
      </c>
      <c r="Q28" s="11"/>
      <c r="R28" s="11"/>
      <c r="S28" s="11"/>
      <c r="T28" s="11"/>
      <c r="U28" s="11"/>
      <c r="V28" s="11">
        <f t="shared" si="11"/>
        <v>42.857142857142847</v>
      </c>
      <c r="Z28" s="11">
        <f t="shared" si="7"/>
        <v>0</v>
      </c>
      <c r="AA28" s="6">
        <f>'Line downtime'!B28</f>
        <v>0</v>
      </c>
      <c r="AB28" s="6">
        <f>'Line downtime'!C28</f>
        <v>0</v>
      </c>
      <c r="AC28" s="6">
        <f>'Line downtime'!D28</f>
        <v>0</v>
      </c>
      <c r="AD28" s="6">
        <f>'Line downtime'!E28</f>
        <v>0</v>
      </c>
      <c r="AE28" s="6">
        <f>'Line downtime'!F28</f>
        <v>0</v>
      </c>
      <c r="AF28" s="6">
        <f>'Line downtime'!G28</f>
        <v>0</v>
      </c>
      <c r="AG28" s="6">
        <f>'Line downtime'!H28</f>
        <v>0</v>
      </c>
      <c r="AH28" s="6">
        <f>'Line downtime'!I28</f>
        <v>30</v>
      </c>
      <c r="AI28" s="6">
        <f>'Line downtime'!J28</f>
        <v>0</v>
      </c>
      <c r="AJ28" s="6">
        <f>'Line downtime'!K28</f>
        <v>15</v>
      </c>
      <c r="AK28" s="6">
        <f>'Line downtime'!L28</f>
        <v>0</v>
      </c>
      <c r="AL28" s="6">
        <f>'Line downtime'!M28</f>
        <v>0</v>
      </c>
    </row>
    <row r="29" spans="1:38" x14ac:dyDescent="0.3">
      <c r="A29" s="18">
        <v>45537</v>
      </c>
      <c r="B29" s="8" t="s">
        <v>28</v>
      </c>
      <c r="C29" s="8">
        <v>422138</v>
      </c>
      <c r="D29" s="17" t="s">
        <v>40</v>
      </c>
      <c r="E29" s="9">
        <v>0.11458333333333333</v>
      </c>
      <c r="F29" s="9">
        <v>0.1701388888888889</v>
      </c>
      <c r="G29" s="9">
        <f t="shared" si="8"/>
        <v>5.5555555555555566E-2</v>
      </c>
      <c r="H29" s="11">
        <f t="shared" si="0"/>
        <v>80.000000000000014</v>
      </c>
      <c r="I29" s="11">
        <f t="shared" si="12"/>
        <v>600</v>
      </c>
      <c r="J29" s="11">
        <v>1</v>
      </c>
      <c r="K29" s="11">
        <v>600</v>
      </c>
      <c r="L29" s="11">
        <v>60</v>
      </c>
      <c r="M29" s="20">
        <f t="shared" si="15"/>
        <v>0.8502024291497976</v>
      </c>
      <c r="N29" s="11"/>
      <c r="O29" s="19">
        <f t="shared" si="9"/>
        <v>20.000000000000014</v>
      </c>
      <c r="P29" s="11">
        <f t="shared" si="10"/>
        <v>74.999999999999986</v>
      </c>
      <c r="Q29" s="11"/>
      <c r="R29" s="11"/>
      <c r="S29" s="11"/>
      <c r="T29" s="11"/>
      <c r="U29" s="11"/>
      <c r="V29" s="11">
        <f t="shared" si="11"/>
        <v>25.000000000000014</v>
      </c>
      <c r="Z29" s="11">
        <f t="shared" si="7"/>
        <v>20</v>
      </c>
      <c r="AA29" s="6">
        <f>'Line downtime'!B29</f>
        <v>0</v>
      </c>
      <c r="AB29" s="6">
        <f>'Line downtime'!C29</f>
        <v>0</v>
      </c>
      <c r="AC29" s="6">
        <f>'Line downtime'!D29</f>
        <v>20</v>
      </c>
      <c r="AD29" s="6">
        <f>'Line downtime'!E29</f>
        <v>0</v>
      </c>
      <c r="AE29" s="6">
        <f>'Line downtime'!F29</f>
        <v>0</v>
      </c>
      <c r="AF29" s="6">
        <f>'Line downtime'!G29</f>
        <v>0</v>
      </c>
      <c r="AG29" s="6">
        <f>'Line downtime'!H29</f>
        <v>0</v>
      </c>
      <c r="AH29" s="6">
        <f>'Line downtime'!I29</f>
        <v>0</v>
      </c>
      <c r="AI29" s="6">
        <f>'Line downtime'!J29</f>
        <v>0</v>
      </c>
      <c r="AJ29" s="6">
        <f>'Line downtime'!K29</f>
        <v>0</v>
      </c>
      <c r="AK29" s="6">
        <f>'Line downtime'!L29</f>
        <v>0</v>
      </c>
      <c r="AL29" s="6">
        <f>'Line downtime'!M29</f>
        <v>0</v>
      </c>
    </row>
    <row r="30" spans="1:38" x14ac:dyDescent="0.3">
      <c r="A30" s="18">
        <v>45537</v>
      </c>
      <c r="B30" s="8" t="s">
        <v>28</v>
      </c>
      <c r="C30" s="8">
        <v>422139</v>
      </c>
      <c r="D30" s="17" t="s">
        <v>40</v>
      </c>
      <c r="E30" s="9">
        <v>0.1701388888888889</v>
      </c>
      <c r="F30" s="9">
        <v>0.2361111111111111</v>
      </c>
      <c r="G30" s="9">
        <f t="shared" si="8"/>
        <v>6.597222222222221E-2</v>
      </c>
      <c r="H30" s="11">
        <f t="shared" si="0"/>
        <v>94.999999999999986</v>
      </c>
      <c r="I30" s="11">
        <f t="shared" si="12"/>
        <v>600</v>
      </c>
      <c r="J30" s="11">
        <v>1</v>
      </c>
      <c r="K30" s="11">
        <v>600</v>
      </c>
      <c r="L30" s="11">
        <v>60</v>
      </c>
      <c r="M30" s="20">
        <f t="shared" si="15"/>
        <v>0.8502024291497976</v>
      </c>
      <c r="N30" s="11"/>
      <c r="O30" s="19">
        <f t="shared" si="9"/>
        <v>34.999999999999986</v>
      </c>
      <c r="P30" s="11">
        <f t="shared" si="10"/>
        <v>63.157894736842117</v>
      </c>
      <c r="Q30" s="11"/>
      <c r="R30" s="11"/>
      <c r="S30" s="11"/>
      <c r="T30" s="11"/>
      <c r="U30" s="11"/>
      <c r="V30" s="11">
        <f t="shared" si="11"/>
        <v>36.842105263157883</v>
      </c>
      <c r="Z30" s="11">
        <f t="shared" si="7"/>
        <v>20</v>
      </c>
      <c r="AA30" s="6">
        <f>'Line downtime'!B30</f>
        <v>0</v>
      </c>
      <c r="AB30" s="6">
        <f>'Line downtime'!C30</f>
        <v>0</v>
      </c>
      <c r="AC30" s="6">
        <f>'Line downtime'!D30</f>
        <v>0</v>
      </c>
      <c r="AD30" s="6">
        <f>'Line downtime'!E30</f>
        <v>20</v>
      </c>
      <c r="AE30" s="6">
        <f>'Line downtime'!F30</f>
        <v>0</v>
      </c>
      <c r="AF30" s="6">
        <f>'Line downtime'!G30</f>
        <v>15</v>
      </c>
      <c r="AG30" s="6">
        <f>'Line downtime'!H30</f>
        <v>0</v>
      </c>
      <c r="AH30" s="6">
        <f>'Line downtime'!I30</f>
        <v>0</v>
      </c>
      <c r="AI30" s="6">
        <f>'Line downtime'!J30</f>
        <v>0</v>
      </c>
      <c r="AJ30" s="6">
        <f>'Line downtime'!K30</f>
        <v>0</v>
      </c>
      <c r="AK30" s="6">
        <f>'Line downtime'!L30</f>
        <v>0</v>
      </c>
      <c r="AL30" s="6">
        <f>'Line downtime'!M30</f>
        <v>0</v>
      </c>
    </row>
    <row r="31" spans="1:38" x14ac:dyDescent="0.3">
      <c r="A31" s="18">
        <v>45537</v>
      </c>
      <c r="B31" s="8" t="s">
        <v>28</v>
      </c>
      <c r="C31" s="8">
        <v>422140</v>
      </c>
      <c r="D31" s="17" t="s">
        <v>40</v>
      </c>
      <c r="E31" s="9">
        <v>0.2361111111111111</v>
      </c>
      <c r="F31" s="9">
        <v>0.3215277777777778</v>
      </c>
      <c r="G31" s="9">
        <f t="shared" si="8"/>
        <v>8.5416666666666696E-2</v>
      </c>
      <c r="H31" s="11">
        <f t="shared" si="0"/>
        <v>123.00000000000004</v>
      </c>
      <c r="I31" s="11">
        <f t="shared" si="12"/>
        <v>1200</v>
      </c>
      <c r="J31" s="11">
        <v>2</v>
      </c>
      <c r="K31" s="11">
        <v>600</v>
      </c>
      <c r="L31" s="11">
        <v>60</v>
      </c>
      <c r="M31" s="20">
        <f t="shared" si="15"/>
        <v>0.8502024291497976</v>
      </c>
      <c r="N31" s="11"/>
      <c r="O31" s="19">
        <f t="shared" si="9"/>
        <v>63.000000000000043</v>
      </c>
      <c r="P31" s="11">
        <f t="shared" si="10"/>
        <v>48.780487804878035</v>
      </c>
      <c r="Q31" s="11"/>
      <c r="R31" s="11"/>
      <c r="S31" s="11"/>
      <c r="T31" s="11"/>
      <c r="U31" s="11"/>
      <c r="V31" s="11">
        <f t="shared" si="11"/>
        <v>51.219512195121965</v>
      </c>
      <c r="Z31" s="11">
        <f t="shared" si="7"/>
        <v>0</v>
      </c>
      <c r="AA31" s="6">
        <f>'Line downtime'!B31</f>
        <v>0</v>
      </c>
      <c r="AB31" s="6">
        <f>'Line downtime'!C31</f>
        <v>0</v>
      </c>
      <c r="AC31" s="6">
        <f>'Line downtime'!D31</f>
        <v>0</v>
      </c>
      <c r="AD31" s="6">
        <f>'Line downtime'!E31</f>
        <v>0</v>
      </c>
      <c r="AE31" s="6">
        <f>'Line downtime'!F31</f>
        <v>0</v>
      </c>
      <c r="AF31" s="6">
        <f>'Line downtime'!G31</f>
        <v>50</v>
      </c>
      <c r="AG31" s="6">
        <f>'Line downtime'!H31</f>
        <v>0</v>
      </c>
      <c r="AH31" s="6">
        <f>'Line downtime'!I31</f>
        <v>0</v>
      </c>
      <c r="AI31" s="6">
        <f>'Line downtime'!J31</f>
        <v>0</v>
      </c>
      <c r="AJ31" s="6">
        <f>'Line downtime'!K31</f>
        <v>0</v>
      </c>
      <c r="AK31" s="6">
        <f>'Line downtime'!L31</f>
        <v>13</v>
      </c>
      <c r="AL31" s="6">
        <f>'Line downtime'!M31</f>
        <v>0</v>
      </c>
    </row>
    <row r="32" spans="1:38" x14ac:dyDescent="0.3">
      <c r="A32" s="7">
        <v>45537</v>
      </c>
      <c r="B32" s="8" t="s">
        <v>28</v>
      </c>
      <c r="C32" s="8">
        <v>422141</v>
      </c>
      <c r="D32" s="8" t="s">
        <v>41</v>
      </c>
      <c r="E32" s="9">
        <v>0.3215277777777778</v>
      </c>
      <c r="F32" s="9">
        <v>0.36805555555555558</v>
      </c>
      <c r="G32" s="9">
        <f t="shared" si="8"/>
        <v>4.6527777777777779E-2</v>
      </c>
      <c r="H32" s="11">
        <f t="shared" si="0"/>
        <v>67</v>
      </c>
      <c r="I32" s="11">
        <f t="shared" si="12"/>
        <v>600</v>
      </c>
      <c r="J32" s="11">
        <v>1</v>
      </c>
      <c r="K32" s="11">
        <v>600</v>
      </c>
      <c r="L32" s="11">
        <v>60</v>
      </c>
      <c r="M32" s="20">
        <f t="shared" si="15"/>
        <v>0.8502024291497976</v>
      </c>
      <c r="N32" s="11"/>
      <c r="O32" s="11">
        <f t="shared" si="9"/>
        <v>7</v>
      </c>
      <c r="P32" s="11">
        <f t="shared" si="10"/>
        <v>89.552238805970148</v>
      </c>
      <c r="Q32" s="11"/>
      <c r="R32" s="11"/>
      <c r="S32" s="11"/>
      <c r="T32" s="11"/>
      <c r="U32" s="11"/>
      <c r="V32" s="11">
        <f t="shared" si="11"/>
        <v>10.447761194029852</v>
      </c>
      <c r="Z32" s="11">
        <f t="shared" si="7"/>
        <v>7</v>
      </c>
      <c r="AA32" s="6">
        <f>'Line downtime'!B32</f>
        <v>0</v>
      </c>
      <c r="AB32" s="6">
        <f>'Line downtime'!C32</f>
        <v>0</v>
      </c>
      <c r="AC32" s="6">
        <f>'Line downtime'!D32</f>
        <v>0</v>
      </c>
      <c r="AD32" s="6">
        <f>'Line downtime'!E32</f>
        <v>0</v>
      </c>
      <c r="AE32" s="6">
        <f>'Line downtime'!F32</f>
        <v>0</v>
      </c>
      <c r="AF32" s="6">
        <f>'Line downtime'!G32</f>
        <v>0</v>
      </c>
      <c r="AG32" s="6">
        <f>'Line downtime'!H32</f>
        <v>0</v>
      </c>
      <c r="AH32" s="6">
        <f>'Line downtime'!I32</f>
        <v>0</v>
      </c>
      <c r="AI32" s="6">
        <f>'Line downtime'!J32</f>
        <v>0</v>
      </c>
      <c r="AJ32" s="6">
        <f>'Line downtime'!K32</f>
        <v>0</v>
      </c>
      <c r="AK32" s="6">
        <f>'Line downtime'!L32</f>
        <v>0</v>
      </c>
      <c r="AL32" s="6">
        <f>'Line downtime'!M32</f>
        <v>7</v>
      </c>
    </row>
    <row r="33" spans="1:38" x14ac:dyDescent="0.3">
      <c r="A33" s="7">
        <v>45537</v>
      </c>
      <c r="B33" s="8" t="s">
        <v>28</v>
      </c>
      <c r="C33" s="8">
        <v>422142</v>
      </c>
      <c r="D33" s="8" t="s">
        <v>41</v>
      </c>
      <c r="E33" s="9">
        <v>0.36805555555555558</v>
      </c>
      <c r="F33" s="9">
        <v>0.43055555555555558</v>
      </c>
      <c r="G33" s="9">
        <f t="shared" si="8"/>
        <v>6.25E-2</v>
      </c>
      <c r="H33" s="11">
        <f t="shared" si="0"/>
        <v>90</v>
      </c>
      <c r="I33" s="11">
        <f t="shared" si="12"/>
        <v>600</v>
      </c>
      <c r="J33" s="11">
        <v>1</v>
      </c>
      <c r="K33" s="11">
        <v>600</v>
      </c>
      <c r="L33" s="11">
        <v>60</v>
      </c>
      <c r="M33" s="20">
        <f t="shared" si="15"/>
        <v>0.8502024291497976</v>
      </c>
      <c r="N33" s="11"/>
      <c r="O33" s="11">
        <f t="shared" si="9"/>
        <v>30</v>
      </c>
      <c r="P33" s="11">
        <f t="shared" si="10"/>
        <v>66.666666666666671</v>
      </c>
      <c r="Q33" s="11"/>
      <c r="R33" s="11"/>
      <c r="S33" s="11"/>
      <c r="T33" s="11"/>
      <c r="U33" s="11"/>
      <c r="V33" s="11">
        <f t="shared" si="11"/>
        <v>33.333333333333329</v>
      </c>
      <c r="Z33" s="11">
        <f t="shared" si="7"/>
        <v>0</v>
      </c>
      <c r="AA33" s="6">
        <f>'Line downtime'!B33</f>
        <v>0</v>
      </c>
      <c r="AB33" s="6">
        <f>'Line downtime'!C33</f>
        <v>0</v>
      </c>
      <c r="AC33" s="6">
        <f>'Line downtime'!D33</f>
        <v>0</v>
      </c>
      <c r="AD33" s="6">
        <f>'Line downtime'!E33</f>
        <v>0</v>
      </c>
      <c r="AE33" s="6">
        <f>'Line downtime'!F33</f>
        <v>0</v>
      </c>
      <c r="AF33" s="6">
        <f>'Line downtime'!G33</f>
        <v>30</v>
      </c>
      <c r="AG33" s="6">
        <f>'Line downtime'!H33</f>
        <v>0</v>
      </c>
      <c r="AH33" s="6">
        <f>'Line downtime'!I33</f>
        <v>0</v>
      </c>
      <c r="AI33" s="6">
        <f>'Line downtime'!J33</f>
        <v>0</v>
      </c>
      <c r="AJ33" s="6">
        <f>'Line downtime'!K33</f>
        <v>0</v>
      </c>
      <c r="AK33" s="6">
        <f>'Line downtime'!L33</f>
        <v>0</v>
      </c>
      <c r="AL33" s="6">
        <f>'Line downtime'!M33</f>
        <v>0</v>
      </c>
    </row>
    <row r="34" spans="1:38" x14ac:dyDescent="0.3">
      <c r="A34" s="7">
        <v>45537</v>
      </c>
      <c r="B34" s="8" t="s">
        <v>28</v>
      </c>
      <c r="C34" s="8">
        <v>422143</v>
      </c>
      <c r="D34" s="8" t="s">
        <v>41</v>
      </c>
      <c r="E34" s="9">
        <v>0.43055555555555558</v>
      </c>
      <c r="F34" s="9">
        <v>0.51249999999999996</v>
      </c>
      <c r="G34" s="9">
        <f t="shared" si="8"/>
        <v>8.1944444444444375E-2</v>
      </c>
      <c r="H34" s="11">
        <f t="shared" si="0"/>
        <v>117.9999999999999</v>
      </c>
      <c r="I34" s="11">
        <f t="shared" si="12"/>
        <v>600</v>
      </c>
      <c r="J34" s="11">
        <v>1</v>
      </c>
      <c r="K34" s="11">
        <v>600</v>
      </c>
      <c r="L34" s="11">
        <v>60</v>
      </c>
      <c r="M34" s="20">
        <f t="shared" si="15"/>
        <v>0.8502024291497976</v>
      </c>
      <c r="N34" s="11"/>
      <c r="O34" s="11">
        <f t="shared" si="9"/>
        <v>57.999999999999901</v>
      </c>
      <c r="P34" s="11">
        <f t="shared" si="10"/>
        <v>50.847457627118686</v>
      </c>
      <c r="Q34" s="11"/>
      <c r="R34" s="11"/>
      <c r="S34" s="11"/>
      <c r="T34" s="11"/>
      <c r="U34" s="11"/>
      <c r="V34" s="11">
        <f t="shared" si="11"/>
        <v>49.152542372881314</v>
      </c>
      <c r="Z34" s="11">
        <f t="shared" si="7"/>
        <v>18</v>
      </c>
      <c r="AA34" s="6">
        <f>'Line downtime'!B34</f>
        <v>0</v>
      </c>
      <c r="AB34" s="6">
        <f>'Line downtime'!C34</f>
        <v>0</v>
      </c>
      <c r="AC34" s="6">
        <f>'Line downtime'!D34</f>
        <v>0</v>
      </c>
      <c r="AD34" s="6">
        <f>'Line downtime'!E34</f>
        <v>0</v>
      </c>
      <c r="AE34" s="6">
        <f>'Line downtime'!F34</f>
        <v>0</v>
      </c>
      <c r="AF34" s="6">
        <f>'Line downtime'!G34</f>
        <v>40</v>
      </c>
      <c r="AG34" s="6">
        <f>'Line downtime'!H34</f>
        <v>18</v>
      </c>
      <c r="AH34" s="6">
        <f>'Line downtime'!I34</f>
        <v>0</v>
      </c>
      <c r="AI34" s="6">
        <f>'Line downtime'!J34</f>
        <v>0</v>
      </c>
      <c r="AJ34" s="6">
        <f>'Line downtime'!K34</f>
        <v>0</v>
      </c>
      <c r="AK34" s="6">
        <f>'Line downtime'!L34</f>
        <v>0</v>
      </c>
      <c r="AL34" s="6">
        <f>'Line downtime'!M34</f>
        <v>0</v>
      </c>
    </row>
    <row r="35" spans="1:38" x14ac:dyDescent="0.3">
      <c r="A35" s="7">
        <v>45537</v>
      </c>
      <c r="B35" s="8" t="s">
        <v>29</v>
      </c>
      <c r="C35" s="8">
        <v>422144</v>
      </c>
      <c r="D35" s="8" t="s">
        <v>41</v>
      </c>
      <c r="E35" s="9">
        <v>0.51249999999999996</v>
      </c>
      <c r="F35" s="9">
        <v>0.61805555555555558</v>
      </c>
      <c r="G35" s="9">
        <f t="shared" si="8"/>
        <v>0.10555555555555562</v>
      </c>
      <c r="H35" s="11">
        <f t="shared" si="0"/>
        <v>152.00000000000011</v>
      </c>
      <c r="I35" s="11">
        <v>2000</v>
      </c>
      <c r="J35" s="11">
        <v>2</v>
      </c>
      <c r="K35" s="11">
        <v>2000</v>
      </c>
      <c r="L35" s="11">
        <v>98</v>
      </c>
      <c r="M35" s="20">
        <f t="shared" si="15"/>
        <v>0.8502024291497976</v>
      </c>
      <c r="N35" s="11"/>
      <c r="O35" s="11">
        <f t="shared" si="9"/>
        <v>54.000000000000114</v>
      </c>
      <c r="P35" s="11">
        <f t="shared" si="10"/>
        <v>64.473684210526272</v>
      </c>
      <c r="Q35" s="11"/>
      <c r="R35" s="11"/>
      <c r="S35" s="11"/>
      <c r="T35" s="11"/>
      <c r="U35" s="11"/>
      <c r="V35" s="11">
        <f t="shared" si="11"/>
        <v>35.526315789473728</v>
      </c>
      <c r="Z35" s="11">
        <f t="shared" si="7"/>
        <v>0</v>
      </c>
      <c r="AA35" s="6">
        <f>'Line downtime'!B35</f>
        <v>0</v>
      </c>
      <c r="AB35" s="6">
        <f>'Line downtime'!C35</f>
        <v>0</v>
      </c>
      <c r="AC35" s="6">
        <f>'Line downtime'!D35</f>
        <v>0</v>
      </c>
      <c r="AD35" s="6">
        <f>'Line downtime'!E35</f>
        <v>0</v>
      </c>
      <c r="AE35" s="6">
        <f>'Line downtime'!F35</f>
        <v>0</v>
      </c>
      <c r="AF35" s="6">
        <f>'Line downtime'!G35</f>
        <v>30</v>
      </c>
      <c r="AG35" s="6">
        <f>'Line downtime'!H35</f>
        <v>0</v>
      </c>
      <c r="AH35" s="6">
        <f>'Line downtime'!I35</f>
        <v>24</v>
      </c>
      <c r="AI35" s="6">
        <f>'Line downtime'!J35</f>
        <v>0</v>
      </c>
      <c r="AJ35" s="6">
        <f>'Line downtime'!K35</f>
        <v>0</v>
      </c>
      <c r="AK35" s="6">
        <f>'Line downtime'!L35</f>
        <v>0</v>
      </c>
      <c r="AL35" s="6">
        <f>'Line downtime'!M35</f>
        <v>0</v>
      </c>
    </row>
    <row r="36" spans="1:38" x14ac:dyDescent="0.3">
      <c r="A36" s="7">
        <v>45537</v>
      </c>
      <c r="B36" s="8" t="s">
        <v>29</v>
      </c>
      <c r="C36" s="8">
        <v>422145</v>
      </c>
      <c r="D36" s="8" t="s">
        <v>39</v>
      </c>
      <c r="E36" s="9">
        <v>0.61805555555555558</v>
      </c>
      <c r="F36" s="9">
        <v>0.70138888888888895</v>
      </c>
      <c r="G36" s="9">
        <f t="shared" si="8"/>
        <v>8.333333333333337E-2</v>
      </c>
      <c r="H36" s="11">
        <f t="shared" si="0"/>
        <v>120.00000000000006</v>
      </c>
      <c r="I36" s="11">
        <v>2000</v>
      </c>
      <c r="J36" s="11">
        <v>2</v>
      </c>
      <c r="K36" s="11">
        <v>2000</v>
      </c>
      <c r="L36" s="11">
        <v>98</v>
      </c>
      <c r="M36" s="20">
        <f t="shared" si="15"/>
        <v>0.8502024291497976</v>
      </c>
      <c r="N36" s="11"/>
      <c r="O36" s="11">
        <f t="shared" si="9"/>
        <v>22.000000000000057</v>
      </c>
      <c r="P36" s="11">
        <f t="shared" si="10"/>
        <v>81.666666666666629</v>
      </c>
      <c r="Q36" s="11"/>
      <c r="R36" s="11"/>
      <c r="S36" s="11"/>
      <c r="T36" s="11"/>
      <c r="U36" s="11"/>
      <c r="V36" s="11">
        <f t="shared" si="11"/>
        <v>18.333333333333371</v>
      </c>
      <c r="W36" s="11"/>
      <c r="X36" s="11"/>
      <c r="Y36" s="11">
        <f t="shared" ref="Y36:Y38" si="18">SUM(AA36+AE36+AF36+AH36+AJ36+AK36)</f>
        <v>0</v>
      </c>
      <c r="Z36" s="11">
        <f t="shared" ref="Z36:Z38" si="19">SUM(AC36+AD36+AG36+AI36+AL36+AB36)</f>
        <v>22</v>
      </c>
      <c r="AA36" s="6">
        <f>'Line downtime'!B36</f>
        <v>0</v>
      </c>
      <c r="AB36" s="13">
        <f>'Line downtime'!C36</f>
        <v>0</v>
      </c>
      <c r="AC36" s="13">
        <f>'Line downtime'!D36</f>
        <v>22</v>
      </c>
      <c r="AD36" s="13">
        <f>'Line downtime'!E36</f>
        <v>0</v>
      </c>
      <c r="AE36" s="6">
        <f>'Line downtime'!F36</f>
        <v>0</v>
      </c>
      <c r="AF36" s="6">
        <f>'Line downtime'!G36</f>
        <v>0</v>
      </c>
      <c r="AG36" s="13">
        <f>'Line downtime'!H36</f>
        <v>0</v>
      </c>
      <c r="AH36" s="6">
        <f>'Line downtime'!I36</f>
        <v>0</v>
      </c>
      <c r="AI36" s="13">
        <f>'Line downtime'!J36</f>
        <v>0</v>
      </c>
      <c r="AJ36" s="6">
        <f>'Line downtime'!K36</f>
        <v>0</v>
      </c>
      <c r="AK36" s="6">
        <f>'Line downtime'!L36</f>
        <v>0</v>
      </c>
      <c r="AL36" s="13">
        <f>'Line downtime'!M36</f>
        <v>0</v>
      </c>
    </row>
    <row r="37" spans="1:38" x14ac:dyDescent="0.3">
      <c r="A37" s="7">
        <v>45537</v>
      </c>
      <c r="B37" s="8" t="s">
        <v>29</v>
      </c>
      <c r="C37" s="8">
        <v>422146</v>
      </c>
      <c r="D37" s="8" t="s">
        <v>39</v>
      </c>
      <c r="E37" s="9">
        <v>0.70138888888888895</v>
      </c>
      <c r="F37" s="9">
        <v>0.8125</v>
      </c>
      <c r="G37" s="9">
        <f t="shared" si="8"/>
        <v>0.11111111111111105</v>
      </c>
      <c r="H37" s="11">
        <f t="shared" si="0"/>
        <v>159.99999999999991</v>
      </c>
      <c r="I37" s="11">
        <v>2000</v>
      </c>
      <c r="J37" s="11">
        <v>2</v>
      </c>
      <c r="K37" s="11">
        <v>2000</v>
      </c>
      <c r="L37" s="11">
        <v>98</v>
      </c>
      <c r="M37" s="20">
        <f t="shared" si="15"/>
        <v>0.8502024291497976</v>
      </c>
      <c r="N37" s="11"/>
      <c r="O37" s="11">
        <f t="shared" si="9"/>
        <v>61.999999999999915</v>
      </c>
      <c r="P37" s="11">
        <f t="shared" si="10"/>
        <v>61.250000000000036</v>
      </c>
      <c r="Q37" s="11"/>
      <c r="R37" s="11"/>
      <c r="S37" s="11"/>
      <c r="T37" s="11"/>
      <c r="U37" s="11"/>
      <c r="V37" s="11">
        <f t="shared" si="11"/>
        <v>38.749999999999964</v>
      </c>
      <c r="W37" s="11"/>
      <c r="X37" s="11"/>
      <c r="Y37" s="11">
        <f t="shared" si="18"/>
        <v>30</v>
      </c>
      <c r="Z37" s="11">
        <f t="shared" si="19"/>
        <v>32</v>
      </c>
      <c r="AA37" s="6">
        <f>'Line downtime'!B37</f>
        <v>0</v>
      </c>
      <c r="AB37" s="13">
        <f>'Line downtime'!C37</f>
        <v>0</v>
      </c>
      <c r="AC37" s="13">
        <f>'Line downtime'!D37</f>
        <v>0</v>
      </c>
      <c r="AD37" s="13">
        <f>'Line downtime'!E37</f>
        <v>0</v>
      </c>
      <c r="AE37" s="6">
        <f>'Line downtime'!F37</f>
        <v>0</v>
      </c>
      <c r="AF37" s="6">
        <f>'Line downtime'!G37</f>
        <v>30</v>
      </c>
      <c r="AG37" s="13">
        <f>'Line downtime'!H37</f>
        <v>25</v>
      </c>
      <c r="AH37" s="6">
        <f>'Line downtime'!I37</f>
        <v>0</v>
      </c>
      <c r="AI37" s="13">
        <f>'Line downtime'!J37</f>
        <v>0</v>
      </c>
      <c r="AJ37" s="6">
        <f>'Line downtime'!K37</f>
        <v>0</v>
      </c>
      <c r="AK37" s="6">
        <f>'Line downtime'!L37</f>
        <v>0</v>
      </c>
      <c r="AL37" s="13">
        <f>'Line downtime'!M37</f>
        <v>7</v>
      </c>
    </row>
    <row r="38" spans="1:38" x14ac:dyDescent="0.3">
      <c r="A38" s="7">
        <v>45537</v>
      </c>
      <c r="B38" s="8" t="s">
        <v>29</v>
      </c>
      <c r="C38" s="8">
        <v>422147</v>
      </c>
      <c r="D38" s="8" t="s">
        <v>39</v>
      </c>
      <c r="E38" s="9">
        <v>0.8125</v>
      </c>
      <c r="F38" s="9">
        <v>0.95486111111111116</v>
      </c>
      <c r="G38" s="9">
        <f t="shared" si="8"/>
        <v>0.14236111111111116</v>
      </c>
      <c r="H38" s="11">
        <f t="shared" si="0"/>
        <v>205.00000000000006</v>
      </c>
      <c r="I38" s="11">
        <v>4000</v>
      </c>
      <c r="J38" s="11"/>
      <c r="K38" s="11">
        <v>2000</v>
      </c>
      <c r="L38" s="11">
        <v>98</v>
      </c>
      <c r="M38" s="20">
        <f t="shared" si="15"/>
        <v>0.8502024291497976</v>
      </c>
      <c r="N38" s="11"/>
      <c r="O38" s="11">
        <f t="shared" si="9"/>
        <v>107.00000000000006</v>
      </c>
      <c r="P38" s="11">
        <f t="shared" si="10"/>
        <v>47.804878048780473</v>
      </c>
      <c r="Q38" s="11"/>
      <c r="R38" s="11"/>
      <c r="S38" s="11"/>
      <c r="T38" s="11"/>
      <c r="U38" s="11"/>
      <c r="V38" s="11">
        <f t="shared" si="11"/>
        <v>52.195121951219527</v>
      </c>
      <c r="W38" s="11"/>
      <c r="X38" s="11"/>
      <c r="Y38" s="11">
        <f t="shared" si="18"/>
        <v>60</v>
      </c>
      <c r="Z38" s="11">
        <f t="shared" si="19"/>
        <v>47</v>
      </c>
      <c r="AA38" s="6">
        <f>'Line downtime'!B38</f>
        <v>0</v>
      </c>
      <c r="AB38" s="13">
        <f>'Line downtime'!C38</f>
        <v>0</v>
      </c>
      <c r="AC38" s="13">
        <f>'Line downtime'!D38</f>
        <v>0</v>
      </c>
      <c r="AD38" s="13">
        <f>'Line downtime'!E38</f>
        <v>17</v>
      </c>
      <c r="AE38" s="6">
        <f>'Line downtime'!F38</f>
        <v>0</v>
      </c>
      <c r="AF38" s="6">
        <f>'Line downtime'!G38</f>
        <v>60</v>
      </c>
      <c r="AG38" s="13">
        <f>'Line downtime'!H38</f>
        <v>30</v>
      </c>
      <c r="AH38" s="6">
        <f>'Line downtime'!I38</f>
        <v>0</v>
      </c>
      <c r="AI38" s="13">
        <f>'Line downtime'!J38</f>
        <v>0</v>
      </c>
      <c r="AJ38" s="6">
        <f>'Line downtime'!K38</f>
        <v>0</v>
      </c>
      <c r="AK38" s="6">
        <f>'Line downtime'!L38</f>
        <v>0</v>
      </c>
      <c r="AL38" s="13">
        <f>'Line downtime'!M38</f>
        <v>0</v>
      </c>
    </row>
    <row r="39" spans="1:38" x14ac:dyDescent="0.3">
      <c r="A39" s="7">
        <v>45538</v>
      </c>
      <c r="B39" s="8" t="s">
        <v>29</v>
      </c>
      <c r="C39" s="8">
        <v>422148</v>
      </c>
      <c r="D39" s="8" t="s">
        <v>42</v>
      </c>
      <c r="E39" s="9">
        <v>0.95486111111111116</v>
      </c>
      <c r="F39" s="9">
        <v>1.0451388888888888</v>
      </c>
      <c r="G39" s="9">
        <f t="shared" si="8"/>
        <v>9.0277777777777679E-2</v>
      </c>
      <c r="H39" s="11">
        <f t="shared" si="0"/>
        <v>129.99999999999986</v>
      </c>
      <c r="I39" s="11">
        <v>2000</v>
      </c>
      <c r="J39" s="11"/>
      <c r="K39" s="11">
        <v>2000</v>
      </c>
      <c r="L39" s="11">
        <v>98</v>
      </c>
      <c r="M39" s="20">
        <f t="shared" si="15"/>
        <v>0.8502024291497976</v>
      </c>
      <c r="N39" s="11"/>
      <c r="O39" s="11">
        <f t="shared" si="9"/>
        <v>31.999999999999858</v>
      </c>
      <c r="P39" s="11">
        <f t="shared" si="10"/>
        <v>75.384615384615472</v>
      </c>
      <c r="Q39" s="11"/>
      <c r="R39" s="11"/>
      <c r="S39" s="11"/>
      <c r="T39" s="11"/>
      <c r="U39" s="11"/>
      <c r="V39" s="11">
        <f t="shared" si="11"/>
        <v>24.615384615384528</v>
      </c>
      <c r="Z39" s="11">
        <f t="shared" si="7"/>
        <v>25</v>
      </c>
      <c r="AA39" s="6">
        <f>'Line downtime'!B39</f>
        <v>0</v>
      </c>
      <c r="AB39" s="6">
        <f>'Line downtime'!C39</f>
        <v>0</v>
      </c>
      <c r="AC39" s="6">
        <f>'Line downtime'!D39</f>
        <v>0</v>
      </c>
      <c r="AD39" s="6">
        <f>'Line downtime'!E39</f>
        <v>25</v>
      </c>
      <c r="AE39" s="6">
        <f>'Line downtime'!F39</f>
        <v>0</v>
      </c>
      <c r="AF39" s="6">
        <f>'Line downtime'!G39</f>
        <v>0</v>
      </c>
      <c r="AG39" s="6">
        <f>'Line downtime'!H39</f>
        <v>0</v>
      </c>
      <c r="AH39" s="6">
        <f>'Line downtime'!I39</f>
        <v>7</v>
      </c>
      <c r="AI39" s="6">
        <f>'Line downtime'!J39</f>
        <v>0</v>
      </c>
      <c r="AJ39" s="6">
        <f>'Line downtime'!K39</f>
        <v>0</v>
      </c>
      <c r="AK39" s="6">
        <f>'Line downtime'!L39</f>
        <v>0</v>
      </c>
      <c r="AL39" s="6">
        <f>'Line downtime'!M39</f>
        <v>0</v>
      </c>
    </row>
    <row r="40" spans="1:38" x14ac:dyDescent="0.3">
      <c r="H40" s="11">
        <f>SUM(H2:H39)</f>
        <v>3857.9999999999995</v>
      </c>
      <c r="I40" s="11">
        <f>SUM(I2:I39)/1000</f>
        <v>39.6</v>
      </c>
      <c r="J40" s="11"/>
      <c r="K40" s="11">
        <f t="shared" ref="K40" si="20">SUM(K2:K39)/1000</f>
        <v>29.8</v>
      </c>
      <c r="L40" s="11">
        <f t="shared" ref="L40:O40" si="21">SUM(L2:L39)</f>
        <v>2470</v>
      </c>
      <c r="M40" s="11"/>
      <c r="N40" s="11"/>
      <c r="O40" s="11">
        <f t="shared" si="21"/>
        <v>1387.9999999999998</v>
      </c>
      <c r="P40" s="20">
        <f>L40/H40</f>
        <v>0.64022809745982379</v>
      </c>
      <c r="Q40" s="20"/>
      <c r="R40" s="20"/>
      <c r="S40" s="20"/>
      <c r="T40" s="20"/>
      <c r="U40" s="20"/>
      <c r="V40" s="11"/>
      <c r="W40" s="11"/>
      <c r="X40" s="11"/>
      <c r="Y40" s="11"/>
      <c r="Z40" s="11">
        <f>SUM(Z6:Z38)-W40</f>
        <v>557</v>
      </c>
      <c r="AB40" s="8"/>
    </row>
    <row r="41" spans="1:38" x14ac:dyDescent="0.3">
      <c r="H41" s="8">
        <f>H40*0.85</f>
        <v>3279.2999999999997</v>
      </c>
      <c r="L41" s="11">
        <f>L40-370</f>
        <v>2100</v>
      </c>
      <c r="O41" s="8">
        <f t="shared" ref="O41" si="22">O40*0.85</f>
        <v>1179.7999999999997</v>
      </c>
      <c r="P41" s="11">
        <f>O40*100/H40</f>
        <v>35.977190254017621</v>
      </c>
      <c r="Q41" s="11"/>
      <c r="R41" s="11"/>
      <c r="S41" s="11"/>
      <c r="T41" s="11"/>
      <c r="U41" s="11"/>
      <c r="V41" s="11"/>
      <c r="AB41" s="8"/>
    </row>
  </sheetData>
  <autoFilter ref="A1:AG41" xr:uid="{A9D962F3-8C54-4C2B-8E48-722D67F8C0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C13" sqref="C13"/>
    </sheetView>
  </sheetViews>
  <sheetFormatPr defaultColWidth="8.77734375" defaultRowHeight="14.4" x14ac:dyDescent="0.3"/>
  <cols>
    <col min="2" max="2" width="11.21875" bestFit="1" customWidth="1"/>
    <col min="4" max="4" width="14.44140625" bestFit="1" customWidth="1"/>
  </cols>
  <sheetData>
    <row r="1" spans="1:4" x14ac:dyDescent="0.3">
      <c r="A1" s="1" t="s">
        <v>1</v>
      </c>
      <c r="B1" s="1" t="s">
        <v>30</v>
      </c>
      <c r="C1" s="1" t="s">
        <v>31</v>
      </c>
      <c r="D1" s="1" t="s">
        <v>38</v>
      </c>
    </row>
    <row r="2" spans="1:4" x14ac:dyDescent="0.3">
      <c r="A2" t="s">
        <v>24</v>
      </c>
      <c r="B2" t="s">
        <v>32</v>
      </c>
      <c r="C2" t="s">
        <v>37</v>
      </c>
      <c r="D2">
        <v>60</v>
      </c>
    </row>
    <row r="3" spans="1:4" x14ac:dyDescent="0.3">
      <c r="A3" t="s">
        <v>25</v>
      </c>
      <c r="B3" t="s">
        <v>33</v>
      </c>
      <c r="C3" t="s">
        <v>37</v>
      </c>
      <c r="D3">
        <v>60</v>
      </c>
    </row>
    <row r="4" spans="1:4" x14ac:dyDescent="0.3">
      <c r="A4" t="s">
        <v>26</v>
      </c>
      <c r="B4" t="s">
        <v>34</v>
      </c>
      <c r="C4" t="s">
        <v>37</v>
      </c>
      <c r="D4">
        <v>60</v>
      </c>
    </row>
    <row r="5" spans="1:4" x14ac:dyDescent="0.3">
      <c r="A5" t="s">
        <v>27</v>
      </c>
      <c r="B5" t="s">
        <v>35</v>
      </c>
      <c r="C5" t="s">
        <v>37</v>
      </c>
      <c r="D5">
        <v>60</v>
      </c>
    </row>
    <row r="6" spans="1:4" x14ac:dyDescent="0.3">
      <c r="A6" t="s">
        <v>28</v>
      </c>
      <c r="B6" t="s">
        <v>43</v>
      </c>
      <c r="C6" t="s">
        <v>37</v>
      </c>
      <c r="D6">
        <v>60</v>
      </c>
    </row>
    <row r="7" spans="1:4" x14ac:dyDescent="0.3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B1:N5"/>
  <sheetViews>
    <sheetView workbookViewId="0">
      <selection activeCell="I6" sqref="I6"/>
    </sheetView>
  </sheetViews>
  <sheetFormatPr defaultColWidth="8.77734375" defaultRowHeight="14.4" x14ac:dyDescent="0.3"/>
  <cols>
    <col min="1" max="1" width="8.77734375" customWidth="1"/>
    <col min="2" max="3" width="10.21875" style="3" customWidth="1"/>
    <col min="4" max="4" width="10.21875" style="15" customWidth="1"/>
    <col min="5" max="6" width="10.21875" style="3" customWidth="1"/>
    <col min="7" max="8" width="10.21875" style="15" customWidth="1"/>
    <col min="9" max="9" width="10.21875" style="3" customWidth="1"/>
    <col min="10" max="10" width="10.21875" style="15" customWidth="1"/>
    <col min="11" max="11" width="10.21875" style="3" customWidth="1"/>
    <col min="12" max="13" width="10.21875" style="15" customWidth="1"/>
    <col min="14" max="14" width="10.21875" style="3" customWidth="1"/>
  </cols>
  <sheetData>
    <row r="1" spans="2:14" ht="31.5" customHeight="1" x14ac:dyDescent="0.3">
      <c r="B1" s="2" t="s">
        <v>6</v>
      </c>
      <c r="C1" s="6">
        <v>1</v>
      </c>
      <c r="D1" s="13">
        <v>2</v>
      </c>
      <c r="E1" s="6">
        <v>3</v>
      </c>
      <c r="F1" s="6">
        <v>4</v>
      </c>
      <c r="G1" s="13">
        <v>5</v>
      </c>
      <c r="H1" s="13">
        <v>6</v>
      </c>
      <c r="I1" s="6">
        <v>7</v>
      </c>
      <c r="J1" s="13">
        <v>8</v>
      </c>
      <c r="K1" s="6">
        <v>9</v>
      </c>
      <c r="L1" s="13">
        <v>10</v>
      </c>
      <c r="M1" s="13">
        <v>11</v>
      </c>
      <c r="N1" s="6">
        <v>12</v>
      </c>
    </row>
    <row r="2" spans="2:14" ht="43.2" x14ac:dyDescent="0.3">
      <c r="B2" s="2" t="s">
        <v>22</v>
      </c>
      <c r="C2" s="6" t="s">
        <v>17</v>
      </c>
      <c r="D2" s="13" t="s">
        <v>8</v>
      </c>
      <c r="E2" s="6" t="s">
        <v>19</v>
      </c>
      <c r="F2" s="6" t="s">
        <v>14</v>
      </c>
      <c r="G2" s="13" t="s">
        <v>10</v>
      </c>
      <c r="H2" s="13" t="s">
        <v>9</v>
      </c>
      <c r="I2" s="6" t="s">
        <v>12</v>
      </c>
      <c r="J2" s="13" t="s">
        <v>13</v>
      </c>
      <c r="K2" s="6" t="s">
        <v>15</v>
      </c>
      <c r="L2" s="13" t="s">
        <v>18</v>
      </c>
      <c r="M2" s="13" t="s">
        <v>11</v>
      </c>
      <c r="N2" s="6" t="s">
        <v>16</v>
      </c>
    </row>
    <row r="3" spans="2:14" ht="31.5" customHeight="1" x14ac:dyDescent="0.3">
      <c r="B3" s="2" t="s">
        <v>7</v>
      </c>
      <c r="C3" s="6" t="s">
        <v>20</v>
      </c>
      <c r="D3" s="13" t="s">
        <v>21</v>
      </c>
      <c r="E3" s="6" t="s">
        <v>20</v>
      </c>
      <c r="F3" s="6" t="s">
        <v>20</v>
      </c>
      <c r="G3" s="13" t="s">
        <v>21</v>
      </c>
      <c r="H3" s="13" t="s">
        <v>21</v>
      </c>
      <c r="I3" s="6" t="s">
        <v>20</v>
      </c>
      <c r="J3" s="13" t="s">
        <v>21</v>
      </c>
      <c r="K3" s="6" t="s">
        <v>20</v>
      </c>
      <c r="L3" s="13" t="s">
        <v>21</v>
      </c>
      <c r="M3" s="13" t="s">
        <v>21</v>
      </c>
      <c r="N3" s="6" t="s">
        <v>20</v>
      </c>
    </row>
    <row r="4" spans="2:14" x14ac:dyDescent="0.3">
      <c r="C4" s="6"/>
      <c r="D4" s="13"/>
      <c r="E4" s="6"/>
      <c r="F4" s="6"/>
      <c r="G4" s="13"/>
      <c r="H4" s="13"/>
      <c r="I4" s="6"/>
      <c r="J4" s="13"/>
      <c r="K4" s="6"/>
      <c r="L4" s="13"/>
      <c r="M4" s="13"/>
      <c r="N4" s="6"/>
    </row>
    <row r="5" spans="2:14" ht="1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0EA2-9C96-452B-B975-17C7065E25B0}">
  <dimension ref="A1:B13"/>
  <sheetViews>
    <sheetView workbookViewId="0">
      <selection activeCell="F21" sqref="F21"/>
    </sheetView>
  </sheetViews>
  <sheetFormatPr defaultRowHeight="14.4" x14ac:dyDescent="0.3"/>
  <cols>
    <col min="1" max="1" width="17.44140625" bestFit="1" customWidth="1"/>
    <col min="2" max="2" width="5.77734375" bestFit="1" customWidth="1"/>
  </cols>
  <sheetData>
    <row r="1" spans="1:2" x14ac:dyDescent="0.3">
      <c r="A1" t="s">
        <v>89</v>
      </c>
      <c r="B1" t="s">
        <v>88</v>
      </c>
    </row>
    <row r="2" spans="1:2" x14ac:dyDescent="0.3">
      <c r="A2" t="s">
        <v>17</v>
      </c>
      <c r="B2">
        <v>0</v>
      </c>
    </row>
    <row r="3" spans="1:2" x14ac:dyDescent="0.3">
      <c r="A3" t="s">
        <v>8</v>
      </c>
      <c r="B3">
        <v>5</v>
      </c>
    </row>
    <row r="4" spans="1:2" x14ac:dyDescent="0.3">
      <c r="A4" t="s">
        <v>19</v>
      </c>
      <c r="B4">
        <v>2</v>
      </c>
    </row>
    <row r="5" spans="1:2" x14ac:dyDescent="0.3">
      <c r="A5" t="s">
        <v>14</v>
      </c>
      <c r="B5">
        <v>9</v>
      </c>
    </row>
    <row r="6" spans="1:2" x14ac:dyDescent="0.3">
      <c r="A6" t="s">
        <v>10</v>
      </c>
      <c r="B6">
        <v>3</v>
      </c>
    </row>
    <row r="7" spans="1:2" x14ac:dyDescent="0.3">
      <c r="A7" t="s">
        <v>9</v>
      </c>
      <c r="B7">
        <v>12</v>
      </c>
    </row>
    <row r="8" spans="1:2" x14ac:dyDescent="0.3">
      <c r="A8" t="s">
        <v>12</v>
      </c>
      <c r="B8">
        <v>11</v>
      </c>
    </row>
    <row r="9" spans="1:2" x14ac:dyDescent="0.3">
      <c r="A9" t="s">
        <v>13</v>
      </c>
      <c r="B9">
        <v>6</v>
      </c>
    </row>
    <row r="10" spans="1:2" x14ac:dyDescent="0.3">
      <c r="A10" t="s">
        <v>15</v>
      </c>
      <c r="B10">
        <v>1</v>
      </c>
    </row>
    <row r="11" spans="1:2" x14ac:dyDescent="0.3">
      <c r="A11" t="s">
        <v>18</v>
      </c>
      <c r="B11">
        <v>3</v>
      </c>
    </row>
    <row r="12" spans="1:2" x14ac:dyDescent="0.3">
      <c r="A12" t="s">
        <v>11</v>
      </c>
      <c r="B12">
        <v>3</v>
      </c>
    </row>
    <row r="13" spans="1:2" x14ac:dyDescent="0.3">
      <c r="A13" t="s">
        <v>16</v>
      </c>
      <c r="B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D2BC-CBFB-4AFB-9108-C9051CF8201C}">
  <dimension ref="A1:C13"/>
  <sheetViews>
    <sheetView workbookViewId="0">
      <selection activeCell="F12" sqref="F12"/>
    </sheetView>
  </sheetViews>
  <sheetFormatPr defaultRowHeight="14.4" x14ac:dyDescent="0.3"/>
  <cols>
    <col min="1" max="3" width="16.88671875" customWidth="1"/>
  </cols>
  <sheetData>
    <row r="1" spans="1:3" x14ac:dyDescent="0.3">
      <c r="A1" t="s">
        <v>89</v>
      </c>
      <c r="B1" t="s">
        <v>88</v>
      </c>
      <c r="C1" t="s">
        <v>90</v>
      </c>
    </row>
    <row r="2" spans="1:3" x14ac:dyDescent="0.3">
      <c r="A2" s="21" t="s">
        <v>17</v>
      </c>
      <c r="B2" s="21">
        <f>COUNT('[1]Line downtime per factor'!B2:AM2)</f>
        <v>0</v>
      </c>
      <c r="C2" s="21">
        <f>SUM('[1]Line downtime per factor'!B2:AM2)</f>
        <v>0</v>
      </c>
    </row>
    <row r="3" spans="1:3" x14ac:dyDescent="0.3">
      <c r="A3" s="21" t="s">
        <v>8</v>
      </c>
      <c r="B3" s="21">
        <f>COUNT('[1]Line downtime per factor'!B3:AM3)</f>
        <v>5</v>
      </c>
      <c r="C3" s="21">
        <f>SUM('[1]Line downtime per factor'!B3:AM3)</f>
        <v>160</v>
      </c>
    </row>
    <row r="4" spans="1:3" x14ac:dyDescent="0.3">
      <c r="A4" s="21" t="s">
        <v>19</v>
      </c>
      <c r="B4" s="21">
        <f>COUNT('[1]Line downtime per factor'!B4:AM4)</f>
        <v>2</v>
      </c>
      <c r="C4" s="21">
        <f>SUM('[1]Line downtime per factor'!B4:AM4)</f>
        <v>42</v>
      </c>
    </row>
    <row r="5" spans="1:3" x14ac:dyDescent="0.3">
      <c r="A5" s="21" t="s">
        <v>14</v>
      </c>
      <c r="B5" s="21">
        <f>COUNT('[1]Line downtime per factor'!B5:AM5)</f>
        <v>9</v>
      </c>
      <c r="C5" s="21">
        <f>SUM('[1]Line downtime per factor'!B5:AM5)</f>
        <v>225</v>
      </c>
    </row>
    <row r="6" spans="1:3" x14ac:dyDescent="0.3">
      <c r="A6" s="21" t="s">
        <v>10</v>
      </c>
      <c r="B6" s="21">
        <f>COUNT('[1]Line downtime per factor'!B6:AM6)</f>
        <v>3</v>
      </c>
      <c r="C6" s="21">
        <f>SUM('[1]Line downtime per factor'!B6:AM6)</f>
        <v>57</v>
      </c>
    </row>
    <row r="7" spans="1:3" x14ac:dyDescent="0.3">
      <c r="A7" s="21" t="s">
        <v>9</v>
      </c>
      <c r="B7" s="21">
        <f>COUNT('[1]Line downtime per factor'!B7:AM7)</f>
        <v>12</v>
      </c>
      <c r="C7" s="21">
        <f>SUM('[1]Line downtime per factor'!B7:AM7)</f>
        <v>332</v>
      </c>
    </row>
    <row r="8" spans="1:3" x14ac:dyDescent="0.3">
      <c r="A8" s="21" t="s">
        <v>12</v>
      </c>
      <c r="B8" s="21">
        <f>COUNT('[1]Line downtime per factor'!B8:AM8)</f>
        <v>11</v>
      </c>
      <c r="C8" s="21">
        <f>SUM('[1]Line downtime per factor'!B8:AM8)</f>
        <v>254</v>
      </c>
    </row>
    <row r="9" spans="1:3" x14ac:dyDescent="0.3">
      <c r="A9" s="21" t="s">
        <v>13</v>
      </c>
      <c r="B9" s="21">
        <f>COUNT('[1]Line downtime per factor'!B9:AM9)</f>
        <v>6</v>
      </c>
      <c r="C9" s="21">
        <f>SUM('[1]Line downtime per factor'!B9:AM9)</f>
        <v>145</v>
      </c>
    </row>
    <row r="10" spans="1:3" x14ac:dyDescent="0.3">
      <c r="A10" s="21" t="s">
        <v>15</v>
      </c>
      <c r="B10" s="21">
        <f>COUNT('[1]Line downtime per factor'!B10:AM10)</f>
        <v>1</v>
      </c>
      <c r="C10" s="21">
        <f>SUM('[1]Line downtime per factor'!B10:AM10)</f>
        <v>17</v>
      </c>
    </row>
    <row r="11" spans="1:3" x14ac:dyDescent="0.3">
      <c r="A11" s="21" t="s">
        <v>18</v>
      </c>
      <c r="B11" s="21">
        <f>COUNT('[1]Line downtime per factor'!B11:AM11)</f>
        <v>3</v>
      </c>
      <c r="C11" s="21">
        <f>SUM('[1]Line downtime per factor'!B11:AM11)</f>
        <v>49</v>
      </c>
    </row>
    <row r="12" spans="1:3" x14ac:dyDescent="0.3">
      <c r="A12" s="21" t="s">
        <v>11</v>
      </c>
      <c r="B12" s="21">
        <f>COUNT('[1]Line downtime per factor'!B12:AM12)</f>
        <v>3</v>
      </c>
      <c r="C12" s="21">
        <f>SUM('[1]Line downtime per factor'!B12:AM12)</f>
        <v>33</v>
      </c>
    </row>
    <row r="13" spans="1:3" x14ac:dyDescent="0.3">
      <c r="A13" s="21" t="s">
        <v>16</v>
      </c>
      <c r="B13" s="21">
        <f>COUNT('[1]Line downtime per factor'!B13:AM13)</f>
        <v>6</v>
      </c>
      <c r="C13" s="21">
        <f>SUM('[1]Line downtime per factor'!B13:AM13)</f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7565-1BE4-4076-BEE1-38CDEE6378BB}">
  <dimension ref="A1:C20"/>
  <sheetViews>
    <sheetView workbookViewId="0">
      <selection activeCell="C25" sqref="C25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62.44140625" bestFit="1" customWidth="1"/>
  </cols>
  <sheetData>
    <row r="1" spans="1:3" x14ac:dyDescent="0.3">
      <c r="A1" t="s">
        <v>44</v>
      </c>
      <c r="B1" t="s">
        <v>45</v>
      </c>
      <c r="C1" t="s">
        <v>22</v>
      </c>
    </row>
    <row r="2" spans="1:3" x14ac:dyDescent="0.3">
      <c r="A2" t="s">
        <v>46</v>
      </c>
      <c r="C2" t="s">
        <v>47</v>
      </c>
    </row>
    <row r="3" spans="1:3" x14ac:dyDescent="0.3">
      <c r="A3" t="s">
        <v>46</v>
      </c>
      <c r="B3" t="s">
        <v>0</v>
      </c>
      <c r="C3" t="s">
        <v>48</v>
      </c>
    </row>
    <row r="4" spans="1:3" x14ac:dyDescent="0.3">
      <c r="A4" t="s">
        <v>46</v>
      </c>
      <c r="B4" t="s">
        <v>1</v>
      </c>
      <c r="C4" t="s">
        <v>49</v>
      </c>
    </row>
    <row r="5" spans="1:3" x14ac:dyDescent="0.3">
      <c r="A5" t="s">
        <v>46</v>
      </c>
      <c r="B5" t="s">
        <v>2</v>
      </c>
      <c r="C5" t="s">
        <v>50</v>
      </c>
    </row>
    <row r="6" spans="1:3" x14ac:dyDescent="0.3">
      <c r="A6" t="s">
        <v>46</v>
      </c>
      <c r="B6" t="s">
        <v>3</v>
      </c>
      <c r="C6" t="s">
        <v>51</v>
      </c>
    </row>
    <row r="7" spans="1:3" x14ac:dyDescent="0.3">
      <c r="A7" t="s">
        <v>46</v>
      </c>
      <c r="B7" t="s">
        <v>4</v>
      </c>
      <c r="C7" t="s">
        <v>52</v>
      </c>
    </row>
    <row r="8" spans="1:3" x14ac:dyDescent="0.3">
      <c r="A8" t="s">
        <v>46</v>
      </c>
      <c r="B8" t="s">
        <v>5</v>
      </c>
      <c r="C8" t="s">
        <v>53</v>
      </c>
    </row>
    <row r="9" spans="1:3" x14ac:dyDescent="0.3">
      <c r="A9" t="s">
        <v>54</v>
      </c>
      <c r="C9" t="s">
        <v>55</v>
      </c>
    </row>
    <row r="10" spans="1:3" x14ac:dyDescent="0.3">
      <c r="A10" t="s">
        <v>54</v>
      </c>
      <c r="B10" t="s">
        <v>1</v>
      </c>
      <c r="C10" t="s">
        <v>56</v>
      </c>
    </row>
    <row r="11" spans="1:3" x14ac:dyDescent="0.3">
      <c r="A11" t="s">
        <v>54</v>
      </c>
      <c r="B11" t="s">
        <v>30</v>
      </c>
      <c r="C11" t="s">
        <v>57</v>
      </c>
    </row>
    <row r="12" spans="1:3" x14ac:dyDescent="0.3">
      <c r="A12" t="s">
        <v>54</v>
      </c>
      <c r="B12" t="s">
        <v>31</v>
      </c>
      <c r="C12" t="s">
        <v>58</v>
      </c>
    </row>
    <row r="13" spans="1:3" x14ac:dyDescent="0.3">
      <c r="A13" t="s">
        <v>54</v>
      </c>
      <c r="B13" t="s">
        <v>38</v>
      </c>
      <c r="C13" t="s">
        <v>59</v>
      </c>
    </row>
    <row r="14" spans="1:3" x14ac:dyDescent="0.3">
      <c r="A14" t="s">
        <v>60</v>
      </c>
      <c r="C14" t="s">
        <v>61</v>
      </c>
    </row>
    <row r="15" spans="1:3" x14ac:dyDescent="0.3">
      <c r="A15" t="s">
        <v>60</v>
      </c>
      <c r="B15" t="s">
        <v>2</v>
      </c>
      <c r="C15" t="s">
        <v>50</v>
      </c>
    </row>
    <row r="16" spans="1:3" x14ac:dyDescent="0.3">
      <c r="A16" t="s">
        <v>60</v>
      </c>
      <c r="B16" t="s">
        <v>23</v>
      </c>
      <c r="C16" t="s">
        <v>62</v>
      </c>
    </row>
    <row r="17" spans="1:3" x14ac:dyDescent="0.3">
      <c r="A17" t="s">
        <v>63</v>
      </c>
      <c r="C17" t="s">
        <v>64</v>
      </c>
    </row>
    <row r="18" spans="1:3" x14ac:dyDescent="0.3">
      <c r="A18" t="s">
        <v>63</v>
      </c>
      <c r="B18" t="s">
        <v>6</v>
      </c>
      <c r="C18" t="s">
        <v>65</v>
      </c>
    </row>
    <row r="19" spans="1:3" x14ac:dyDescent="0.3">
      <c r="A19" t="s">
        <v>63</v>
      </c>
      <c r="B19" t="s">
        <v>22</v>
      </c>
      <c r="C19" t="s">
        <v>66</v>
      </c>
    </row>
    <row r="20" spans="1:3" x14ac:dyDescent="0.3">
      <c r="A20" t="s">
        <v>63</v>
      </c>
      <c r="B20" t="s">
        <v>7</v>
      </c>
      <c r="C20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E7E2-A9D5-42CA-923D-E20BDCD12C8A}">
  <dimension ref="A1:C3"/>
  <sheetViews>
    <sheetView workbookViewId="0">
      <selection activeCell="B3" sqref="B3"/>
    </sheetView>
  </sheetViews>
  <sheetFormatPr defaultRowHeight="14.4" x14ac:dyDescent="0.3"/>
  <cols>
    <col min="1" max="1" width="135.21875" bestFit="1" customWidth="1"/>
    <col min="2" max="2" width="59.44140625" bestFit="1" customWidth="1"/>
  </cols>
  <sheetData>
    <row r="1" spans="1:3" x14ac:dyDescent="0.3">
      <c r="A1" t="s">
        <v>73</v>
      </c>
    </row>
    <row r="3" spans="1:3" x14ac:dyDescent="0.3">
      <c r="A3" s="21" t="s">
        <v>81</v>
      </c>
      <c r="B3" s="21" t="s">
        <v>82</v>
      </c>
      <c r="C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Line downtime</vt:lpstr>
      <vt:lpstr>Line productivity</vt:lpstr>
      <vt:lpstr>Products</vt:lpstr>
      <vt:lpstr>Downtime factors</vt:lpstr>
      <vt:lpstr>Line Downtime count </vt:lpstr>
      <vt:lpstr>Line Downtime total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omar ramadan</cp:lastModifiedBy>
  <dcterms:created xsi:type="dcterms:W3CDTF">2024-08-19T19:52:48Z</dcterms:created>
  <dcterms:modified xsi:type="dcterms:W3CDTF">2025-04-19T09:49:49Z</dcterms:modified>
</cp:coreProperties>
</file>